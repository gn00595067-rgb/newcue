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8_{15254700-BC4F-4A1D-8225-A01705FA5F81}" xr6:coauthVersionLast="47" xr6:coauthVersionMax="47" xr10:uidLastSave="{00000000-0000-0000-0000-000000000000}"/>
  <bookViews>
    <workbookView xWindow="-93" yWindow="-93" windowWidth="25786" windowHeight="13866" activeTab="2" xr2:uid="{59BA7DF9-7B76-4366-9763-EF58E128DB25}"/>
  </bookViews>
  <sheets>
    <sheet name="萬家福 &amp; 樂家康 10秒" sheetId="1" r:id="rId1"/>
    <sheet name="萬家福 &amp; 樂家康 15秒" sheetId="2" r:id="rId2"/>
    <sheet name="萬家福 &amp; 樂家康 20秒" sheetId="3" r:id="rId3"/>
  </sheets>
  <definedNames>
    <definedName name="_xlnm.Print_Area" localSheetId="0">'萬家福 &amp; 樂家康 10秒'!$A$1:$U$32</definedName>
    <definedName name="_xlnm.Print_Area" localSheetId="1">'萬家福 &amp; 樂家康 15秒'!$A$1:$U$32</definedName>
    <definedName name="_xlnm.Print_Area" localSheetId="2">'萬家福 &amp; 樂家康 20秒'!$A$1:$U$32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3" l="1"/>
  <c r="L9" i="3"/>
  <c r="M9" i="3" s="1"/>
  <c r="N9" i="3" s="1"/>
  <c r="O9" i="3" s="1"/>
  <c r="Q9" i="3" s="1"/>
  <c r="R9" i="3" s="1"/>
  <c r="S9" i="3" s="1"/>
  <c r="T9" i="3" s="1"/>
  <c r="U9" i="3" s="1"/>
  <c r="G9" i="3"/>
  <c r="F9" i="3"/>
  <c r="L8" i="3"/>
  <c r="G8" i="3"/>
  <c r="F8" i="3"/>
  <c r="L6" i="3"/>
  <c r="M6" i="3" s="1"/>
  <c r="N6" i="3" s="1"/>
  <c r="O6" i="3" s="1"/>
  <c r="P6" i="3" s="1"/>
  <c r="Q6" i="3" s="1"/>
  <c r="R6" i="3" s="1"/>
  <c r="S6" i="3" s="1"/>
  <c r="T6" i="3" s="1"/>
  <c r="U6" i="3" s="1"/>
  <c r="J8" i="2"/>
  <c r="O9" i="2"/>
  <c r="L9" i="2"/>
  <c r="M9" i="2" s="1"/>
  <c r="G9" i="2"/>
  <c r="F9" i="2"/>
  <c r="L8" i="2"/>
  <c r="M8" i="2" s="1"/>
  <c r="G8" i="2"/>
  <c r="F8" i="2"/>
  <c r="L6" i="2"/>
  <c r="M6" i="2" s="1"/>
  <c r="N6" i="2" s="1"/>
  <c r="O6" i="2" s="1"/>
  <c r="P6" i="2" s="1"/>
  <c r="Q6" i="2" s="1"/>
  <c r="R6" i="2" s="1"/>
  <c r="S6" i="2" s="1"/>
  <c r="T6" i="2" s="1"/>
  <c r="U6" i="2" s="1"/>
  <c r="L9" i="1"/>
  <c r="M9" i="1" s="1"/>
  <c r="N9" i="1" s="1"/>
  <c r="O9" i="1" s="1"/>
  <c r="P9" i="1" s="1"/>
  <c r="Q9" i="1" s="1"/>
  <c r="R9" i="1" s="1"/>
  <c r="S9" i="1" s="1"/>
  <c r="T9" i="1" s="1"/>
  <c r="L8" i="1"/>
  <c r="M8" i="1" s="1"/>
  <c r="N8" i="1" s="1"/>
  <c r="P8" i="1" s="1"/>
  <c r="Q8" i="1" s="1"/>
  <c r="R8" i="1" s="1"/>
  <c r="S8" i="1" s="1"/>
  <c r="T8" i="1" s="1"/>
  <c r="U8" i="1" s="1"/>
  <c r="G9" i="1"/>
  <c r="F9" i="1"/>
  <c r="G8" i="1"/>
  <c r="F8" i="1"/>
  <c r="L6" i="1"/>
  <c r="M6" i="1" s="1"/>
  <c r="N6" i="1" s="1"/>
  <c r="O6" i="1" s="1"/>
  <c r="P6" i="1" s="1"/>
  <c r="Q6" i="1" s="1"/>
  <c r="R6" i="1" s="1"/>
  <c r="S6" i="1" s="1"/>
  <c r="T6" i="1" s="1"/>
  <c r="U6" i="1" s="1"/>
  <c r="N8" i="3" l="1"/>
  <c r="O8" i="3" s="1"/>
  <c r="P8" i="3" s="1"/>
  <c r="Q8" i="3" s="1"/>
  <c r="R8" i="3" s="1"/>
  <c r="S8" i="3" s="1"/>
  <c r="T8" i="3" s="1"/>
  <c r="U8" i="3" s="1"/>
  <c r="H9" i="3"/>
  <c r="I9" i="3" s="1"/>
  <c r="P9" i="2"/>
  <c r="Q9" i="2" s="1"/>
  <c r="R9" i="2" s="1"/>
  <c r="S9" i="2" s="1"/>
  <c r="T9" i="2" s="1"/>
  <c r="U9" i="2" s="1"/>
  <c r="N8" i="2"/>
  <c r="H9" i="2"/>
  <c r="I9" i="2" s="1"/>
  <c r="H9" i="1"/>
  <c r="I9" i="1" s="1"/>
  <c r="H8" i="1"/>
  <c r="H8" i="3" l="1"/>
  <c r="O8" i="2"/>
  <c r="P8" i="2" s="1"/>
  <c r="Q8" i="2" s="1"/>
  <c r="R8" i="2" s="1"/>
  <c r="S8" i="2" s="1"/>
  <c r="T8" i="2" s="1"/>
  <c r="J8" i="1"/>
  <c r="J11" i="1" s="1"/>
  <c r="J13" i="1" s="1"/>
  <c r="J14" i="1" s="1"/>
  <c r="I8" i="1"/>
  <c r="B14" i="1" s="1"/>
  <c r="J11" i="3" l="1"/>
  <c r="I8" i="3"/>
  <c r="B14" i="3" s="1"/>
  <c r="H8" i="2"/>
  <c r="B15" i="1"/>
  <c r="B15" i="3" l="1"/>
  <c r="J13" i="3"/>
  <c r="J14" i="3" s="1"/>
  <c r="J11" i="2"/>
  <c r="J13" i="2" s="1"/>
  <c r="J14" i="2" s="1"/>
  <c r="I8" i="2"/>
  <c r="B14" i="2" s="1"/>
  <c r="B15" i="2" l="1"/>
</calcChain>
</file>

<file path=xl/sharedStrings.xml><?xml version="1.0" encoding="utf-8"?>
<sst xmlns="http://schemas.openxmlformats.org/spreadsheetml/2006/main" count="186" uniqueCount="55">
  <si>
    <t>凱絡媒體服務(股)公司廣播媒體排期表</t>
    <phoneticPr fontId="3" type="noConversion"/>
  </si>
  <si>
    <t>客   戶：</t>
    <phoneticPr fontId="3" type="noConversion"/>
  </si>
  <si>
    <t>統一</t>
    <phoneticPr fontId="3" type="noConversion"/>
  </si>
  <si>
    <t xml:space="preserve"> </t>
    <phoneticPr fontId="3" type="noConversion"/>
  </si>
  <si>
    <t>產   品：</t>
    <phoneticPr fontId="3" type="noConversion"/>
  </si>
  <si>
    <t>純喫茶</t>
    <phoneticPr fontId="3" type="noConversion"/>
  </si>
  <si>
    <t>2026年9月</t>
    <phoneticPr fontId="3" type="noConversion"/>
  </si>
  <si>
    <t>日   期：</t>
    <phoneticPr fontId="3" type="noConversion"/>
  </si>
  <si>
    <t>2026/8/11</t>
    <phoneticPr fontId="3" type="noConversion"/>
  </si>
  <si>
    <t>媒體別</t>
    <phoneticPr fontId="3" type="noConversion"/>
  </si>
  <si>
    <t>地區</t>
    <phoneticPr fontId="3" type="noConversion"/>
  </si>
  <si>
    <t>時段</t>
    <phoneticPr fontId="3" type="noConversion"/>
  </si>
  <si>
    <t>素材</t>
    <phoneticPr fontId="3" type="noConversion"/>
  </si>
  <si>
    <t>定價
(檔/Net)</t>
    <phoneticPr fontId="3" type="noConversion"/>
  </si>
  <si>
    <t>市場價
(檔/Net)</t>
    <phoneticPr fontId="3" type="noConversion"/>
  </si>
  <si>
    <t>統一價
(檔/Net)</t>
    <phoneticPr fontId="3" type="noConversion"/>
  </si>
  <si>
    <t>檔數</t>
    <phoneticPr fontId="3" type="noConversion"/>
  </si>
  <si>
    <t>總價</t>
    <phoneticPr fontId="3" type="noConversion"/>
  </si>
  <si>
    <t>專案價
(Net)</t>
  </si>
  <si>
    <t>Sep</t>
    <phoneticPr fontId="2" type="noConversion"/>
  </si>
  <si>
    <t>F</t>
    <phoneticPr fontId="2" type="noConversion"/>
  </si>
  <si>
    <t>S</t>
    <phoneticPr fontId="3" type="noConversion"/>
  </si>
  <si>
    <t>M</t>
    <phoneticPr fontId="11" type="noConversion"/>
  </si>
  <si>
    <t>T</t>
    <phoneticPr fontId="11" type="noConversion"/>
  </si>
  <si>
    <t>W</t>
    <phoneticPr fontId="11" type="noConversion"/>
  </si>
  <si>
    <t>全台【萬家福/樂家康】
連鎖量販店＋超市
(企業頻道節目播放)</t>
    <phoneticPr fontId="3" type="noConversion"/>
  </si>
  <si>
    <t>萬家福(量販)</t>
    <phoneticPr fontId="3" type="noConversion"/>
  </si>
  <si>
    <t xml:space="preserve">0900-2300 </t>
    <phoneticPr fontId="13" type="noConversion"/>
  </si>
  <si>
    <t>10"CM</t>
    <phoneticPr fontId="2" type="noConversion"/>
  </si>
  <si>
    <t>樂家康(超市)</t>
    <phoneticPr fontId="3" type="noConversion"/>
  </si>
  <si>
    <t xml:space="preserve">0000-2400 </t>
    <phoneticPr fontId="13" type="noConversion"/>
  </si>
  <si>
    <t>計價於量販</t>
    <phoneticPr fontId="2" type="noConversion"/>
  </si>
  <si>
    <t>Sub-Total</t>
  </si>
  <si>
    <t>A.C     3%</t>
  </si>
  <si>
    <t>-</t>
    <phoneticPr fontId="3" type="noConversion"/>
  </si>
  <si>
    <t>VAT    5%</t>
  </si>
  <si>
    <t>媒體總價值(NET)</t>
    <phoneticPr fontId="2" type="noConversion"/>
  </si>
  <si>
    <t>Grand-Total</t>
  </si>
  <si>
    <t>優惠總價值(NET)</t>
    <phoneticPr fontId="2" type="noConversion"/>
  </si>
  <si>
    <t xml:space="preserve">部主管：_________ </t>
    <phoneticPr fontId="2" type="noConversion"/>
  </si>
  <si>
    <t xml:space="preserve">課主管：_________ </t>
  </si>
  <si>
    <t>媒體窗口：_________</t>
  </si>
  <si>
    <t>承辦PM：_________</t>
    <phoneticPr fontId="3" type="noConversion"/>
  </si>
  <si>
    <t>備     註</t>
    <phoneticPr fontId="3" type="noConversion"/>
  </si>
  <si>
    <t>1.更改媒體排期表請於播出前十個工作天通知。</t>
    <phoneticPr fontId="3" type="noConversion"/>
  </si>
  <si>
    <t>2.以上報價僅適用於本次的專案優惠價，而非代表媒體單次購買價格；若中途停Cue，則已執行之廣告檔次，以單檔單次計費。</t>
    <phoneticPr fontId="3" type="noConversion"/>
  </si>
  <si>
    <t>3.客戶選擇凱絡公司提供的媒體服務，客戶並同意接受凱絡公司的條款（CARAT TERMS OF BUSINESS）的約束。 CARAT TERMS OF BUSINESS網址：http://file.carat.com.tw/legal/Carat_terms_of_business.pdf。</t>
    <phoneticPr fontId="2" type="noConversion"/>
  </si>
  <si>
    <t>4.請於8/18(二)中午前簽回Cue表確認，並傳真至(02)2717-3011，謝謝</t>
    <phoneticPr fontId="2" type="noConversion"/>
  </si>
  <si>
    <t>5.請款說明：9月媒體費$120,000(Net)</t>
    <phoneticPr fontId="2" type="noConversion"/>
  </si>
  <si>
    <t>6.■以下請PM填寫：</t>
    <phoneticPr fontId="2" type="noConversion"/>
  </si>
  <si>
    <t>★廣告稿件已送品牌創意檢視表電子化系統核准製作?</t>
    <phoneticPr fontId="2" type="noConversion"/>
  </si>
  <si>
    <t xml:space="preserve">□是，文件編號__________________費用分攤明細__________________。      </t>
    <phoneticPr fontId="2" type="noConversion"/>
  </si>
  <si>
    <t>□否，請於上CUE前完成電子流程送簽。</t>
    <phoneticPr fontId="2" type="noConversion"/>
  </si>
  <si>
    <t>15"CM</t>
    <phoneticPr fontId="2" type="noConversion"/>
  </si>
  <si>
    <t>20"CM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</si>
</sst>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* #,##0_-;\-&quot;$&quot;* #,##0_-;_-&quot;$&quot;* &quot;-&quot;_-;_-@_-"/>
    <numFmt numFmtId="176" formatCode="#,##0;[Red]#,##0"/>
    <numFmt numFmtId="177" formatCode="#,##0.00;[Red]#,##0.00"/>
    <numFmt numFmtId="178" formatCode="_-\$* #,##0.00_-;&quot;-$&quot;* #,##0.00_-;_-\$* \-??_-;_-@_-"/>
    <numFmt numFmtId="179" formatCode="_-\$* #,##0_-;&quot;-$&quot;* #,##0_-;_-\$* \-??_-;_-@_-"/>
    <numFmt numFmtId="180" formatCode="&quot;$&quot;#,##0_);[Red]\(&quot;$&quot;#,##0\)"/>
    <numFmt numFmtId="181" formatCode="_-&quot;$&quot;* #,##0_-;\-&quot;$&quot;* #,##0_-;_-&quot;$&quot;* &quot;-&quot;??_-;_-@_-"/>
    <numFmt numFmtId="182" formatCode="_-* #,##0.00_-;\-* #,##0.00_-;_-* \-??_-;_-@_-"/>
    <numFmt numFmtId="183" formatCode="0_);[Red]\(0\)"/>
    <numFmt numFmtId="184" formatCode="0_ "/>
    <numFmt numFmtId="185" formatCode="&quot;$&quot;#,##0_);\(&quot;$&quot;#,##0\)"/>
  </numFmts>
  <fonts count="16">
    <font>
      <sz val="12"/>
      <name val="Arial"/>
      <family val="2"/>
    </font>
    <font>
      <b/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Courier"/>
      <family val="3"/>
    </font>
    <font>
      <sz val="12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Wawati TC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rgb="FFFFFF00"/>
        <bgColor indexed="3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3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7" fillId="0" borderId="0"/>
    <xf numFmtId="0" fontId="8" fillId="0" borderId="0"/>
    <xf numFmtId="178" fontId="8" fillId="0" borderId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82" fontId="8" fillId="0" borderId="0" applyFill="0" applyBorder="0" applyAlignment="0" applyProtection="0"/>
    <xf numFmtId="0" fontId="8" fillId="0" borderId="0">
      <alignment vertical="center"/>
    </xf>
  </cellStyleXfs>
  <cellXfs count="153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6" fontId="4" fillId="0" borderId="0" xfId="0" applyNumberFormat="1" applyFont="1"/>
    <xf numFmtId="177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6" fontId="5" fillId="0" borderId="0" xfId="0" applyNumberFormat="1" applyFont="1"/>
    <xf numFmtId="177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38" fontId="6" fillId="3" borderId="0" xfId="3" applyNumberFormat="1" applyFont="1" applyFill="1" applyAlignment="1">
      <alignment horizontal="right" vertical="center"/>
    </xf>
    <xf numFmtId="38" fontId="6" fillId="3" borderId="0" xfId="3" quotePrefix="1" applyNumberFormat="1" applyFont="1" applyFill="1" applyAlignment="1">
      <alignment vertical="center"/>
    </xf>
    <xf numFmtId="0" fontId="9" fillId="4" borderId="1" xfId="4" applyFont="1" applyFill="1" applyBorder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0" fontId="9" fillId="4" borderId="3" xfId="4" applyFont="1" applyFill="1" applyBorder="1" applyAlignment="1">
      <alignment horizontal="center" vertical="center"/>
    </xf>
    <xf numFmtId="0" fontId="9" fillId="4" borderId="4" xfId="4" applyFont="1" applyFill="1" applyBorder="1" applyAlignment="1">
      <alignment horizontal="center" vertical="center"/>
    </xf>
    <xf numFmtId="38" fontId="9" fillId="4" borderId="4" xfId="4" applyNumberFormat="1" applyFont="1" applyFill="1" applyBorder="1" applyAlignment="1">
      <alignment horizontal="center" vertical="center" wrapText="1"/>
    </xf>
    <xf numFmtId="0" fontId="9" fillId="4" borderId="4" xfId="4" applyFont="1" applyFill="1" applyBorder="1" applyAlignment="1">
      <alignment horizontal="center" vertical="center" wrapText="1"/>
    </xf>
    <xf numFmtId="179" fontId="9" fillId="4" borderId="5" xfId="5" applyNumberFormat="1" applyFont="1" applyFill="1" applyBorder="1" applyAlignment="1" applyProtection="1">
      <alignment horizontal="center" vertical="center" wrapText="1"/>
    </xf>
    <xf numFmtId="40" fontId="10" fillId="4" borderId="1" xfId="6" applyNumberFormat="1" applyFont="1" applyFill="1" applyBorder="1" applyAlignment="1">
      <alignment horizontal="left" vertical="center"/>
    </xf>
    <xf numFmtId="40" fontId="10" fillId="4" borderId="6" xfId="6" applyNumberFormat="1" applyFont="1" applyFill="1" applyBorder="1" applyAlignment="1">
      <alignment horizontal="left" vertical="center"/>
    </xf>
    <xf numFmtId="40" fontId="10" fillId="4" borderId="7" xfId="6" applyNumberFormat="1" applyFont="1" applyFill="1" applyBorder="1" applyAlignment="1">
      <alignment horizontal="left" vertical="center"/>
    </xf>
    <xf numFmtId="0" fontId="9" fillId="0" borderId="0" xfId="7" applyFont="1" applyAlignment="1">
      <alignment vertical="center"/>
    </xf>
    <xf numFmtId="0" fontId="9" fillId="4" borderId="8" xfId="4" applyFont="1" applyFill="1" applyBorder="1" applyAlignment="1">
      <alignment horizontal="center" vertical="center"/>
    </xf>
    <xf numFmtId="0" fontId="9" fillId="4" borderId="9" xfId="4" applyFont="1" applyFill="1" applyBorder="1" applyAlignment="1">
      <alignment horizontal="center" vertical="center"/>
    </xf>
    <xf numFmtId="0" fontId="9" fillId="4" borderId="10" xfId="4" applyFont="1" applyFill="1" applyBorder="1" applyAlignment="1">
      <alignment horizontal="center" vertical="center"/>
    </xf>
    <xf numFmtId="0" fontId="9" fillId="4" borderId="11" xfId="4" applyFont="1" applyFill="1" applyBorder="1" applyAlignment="1">
      <alignment horizontal="center" vertical="center"/>
    </xf>
    <xf numFmtId="38" fontId="9" fillId="4" borderId="11" xfId="4" applyNumberFormat="1" applyFont="1" applyFill="1" applyBorder="1" applyAlignment="1">
      <alignment horizontal="center" vertical="center" wrapText="1"/>
    </xf>
    <xf numFmtId="0" fontId="9" fillId="4" borderId="11" xfId="4" applyFont="1" applyFill="1" applyBorder="1" applyAlignment="1">
      <alignment horizontal="center" vertical="center" wrapText="1"/>
    </xf>
    <xf numFmtId="179" fontId="9" fillId="4" borderId="12" xfId="5" applyNumberFormat="1" applyFont="1" applyFill="1" applyBorder="1" applyAlignment="1" applyProtection="1">
      <alignment horizontal="center" vertical="center" wrapText="1"/>
    </xf>
    <xf numFmtId="38" fontId="10" fillId="0" borderId="8" xfId="0" quotePrefix="1" applyNumberFormat="1" applyFont="1" applyBorder="1" applyAlignment="1">
      <alignment horizontal="center" vertical="center"/>
    </xf>
    <xf numFmtId="38" fontId="10" fillId="0" borderId="0" xfId="0" quotePrefix="1" applyNumberFormat="1" applyFont="1" applyAlignment="1">
      <alignment horizontal="center" vertical="center"/>
    </xf>
    <xf numFmtId="38" fontId="10" fillId="0" borderId="13" xfId="0" quotePrefix="1" applyNumberFormat="1" applyFont="1" applyBorder="1" applyAlignment="1">
      <alignment horizontal="center" vertical="center"/>
    </xf>
    <xf numFmtId="40" fontId="10" fillId="4" borderId="0" xfId="6" applyNumberFormat="1" applyFont="1" applyFill="1" applyAlignment="1">
      <alignment horizontal="center" vertical="center"/>
    </xf>
    <xf numFmtId="40" fontId="10" fillId="5" borderId="0" xfId="6" applyNumberFormat="1" applyFont="1" applyFill="1" applyAlignment="1">
      <alignment horizontal="center" vertical="center"/>
    </xf>
    <xf numFmtId="40" fontId="10" fillId="4" borderId="13" xfId="6" applyNumberFormat="1" applyFont="1" applyFill="1" applyBorder="1" applyAlignment="1">
      <alignment horizontal="center" vertical="center"/>
    </xf>
    <xf numFmtId="0" fontId="10" fillId="0" borderId="14" xfId="7" applyFont="1" applyBorder="1" applyAlignment="1">
      <alignment horizontal="center" vertical="center" wrapText="1"/>
    </xf>
    <xf numFmtId="0" fontId="12" fillId="0" borderId="15" xfId="8" quotePrefix="1" applyFont="1" applyBorder="1" applyAlignment="1">
      <alignment horizontal="center" vertical="center"/>
    </xf>
    <xf numFmtId="0" fontId="12" fillId="2" borderId="15" xfId="9" quotePrefix="1" applyFont="1" applyFill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/>
    </xf>
    <xf numFmtId="181" fontId="12" fillId="0" borderId="15" xfId="2" applyNumberFormat="1" applyFont="1" applyFill="1" applyBorder="1" applyAlignment="1" applyProtection="1">
      <alignment horizontal="center" vertical="center"/>
    </xf>
    <xf numFmtId="183" fontId="12" fillId="0" borderId="15" xfId="10" applyNumberFormat="1" applyFont="1" applyFill="1" applyBorder="1" applyAlignment="1" applyProtection="1">
      <alignment horizontal="center" vertical="center"/>
    </xf>
    <xf numFmtId="179" fontId="9" fillId="4" borderId="16" xfId="5" applyNumberFormat="1" applyFont="1" applyFill="1" applyBorder="1" applyAlignment="1" applyProtection="1">
      <alignment horizontal="center" vertical="center" wrapText="1"/>
    </xf>
    <xf numFmtId="184" fontId="10" fillId="0" borderId="17" xfId="11" applyNumberFormat="1" applyFont="1" applyBorder="1" applyAlignment="1">
      <alignment horizontal="center" vertical="center"/>
    </xf>
    <xf numFmtId="184" fontId="10" fillId="0" borderId="15" xfId="11" applyNumberFormat="1" applyFont="1" applyBorder="1" applyAlignment="1">
      <alignment horizontal="center" vertical="center"/>
    </xf>
    <xf numFmtId="184" fontId="10" fillId="0" borderId="16" xfId="11" applyNumberFormat="1" applyFont="1" applyBorder="1" applyAlignment="1">
      <alignment horizontal="center" vertical="center"/>
    </xf>
    <xf numFmtId="0" fontId="10" fillId="0" borderId="18" xfId="7" applyFont="1" applyBorder="1" applyAlignment="1">
      <alignment horizontal="center" vertical="center" wrapText="1"/>
    </xf>
    <xf numFmtId="0" fontId="12" fillId="0" borderId="19" xfId="8" quotePrefix="1" applyFont="1" applyBorder="1" applyAlignment="1">
      <alignment horizontal="center" vertical="center"/>
    </xf>
    <xf numFmtId="0" fontId="12" fillId="2" borderId="19" xfId="9" quotePrefix="1" applyFont="1" applyFill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/>
    </xf>
    <xf numFmtId="181" fontId="12" fillId="0" borderId="19" xfId="2" applyNumberFormat="1" applyFont="1" applyFill="1" applyBorder="1" applyAlignment="1" applyProtection="1">
      <alignment horizontal="center" vertical="center"/>
    </xf>
    <xf numFmtId="183" fontId="12" fillId="0" borderId="19" xfId="10" applyNumberFormat="1" applyFont="1" applyFill="1" applyBorder="1" applyAlignment="1" applyProtection="1">
      <alignment horizontal="center" vertical="center"/>
    </xf>
    <xf numFmtId="42" fontId="12" fillId="0" borderId="20" xfId="2" applyNumberFormat="1" applyFont="1" applyFill="1" applyBorder="1" applyAlignment="1" applyProtection="1">
      <alignment horizontal="center" vertical="center"/>
    </xf>
    <xf numFmtId="184" fontId="10" fillId="0" borderId="21" xfId="11" applyNumberFormat="1" applyFont="1" applyBorder="1" applyAlignment="1">
      <alignment horizontal="center" vertical="center"/>
    </xf>
    <xf numFmtId="184" fontId="10" fillId="0" borderId="19" xfId="11" applyNumberFormat="1" applyFont="1" applyBorder="1" applyAlignment="1">
      <alignment horizontal="center" vertical="center"/>
    </xf>
    <xf numFmtId="184" fontId="10" fillId="0" borderId="20" xfId="1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 vertical="center" wrapText="1"/>
    </xf>
    <xf numFmtId="0" fontId="12" fillId="0" borderId="6" xfId="8" quotePrefix="1" applyFont="1" applyBorder="1" applyAlignment="1">
      <alignment horizontal="center" vertical="center"/>
    </xf>
    <xf numFmtId="0" fontId="10" fillId="2" borderId="6" xfId="9" quotePrefix="1" applyFont="1" applyFill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/>
    </xf>
    <xf numFmtId="181" fontId="10" fillId="0" borderId="6" xfId="2" applyNumberFormat="1" applyFont="1" applyFill="1" applyBorder="1" applyAlignment="1" applyProtection="1">
      <alignment horizontal="center" vertical="center"/>
    </xf>
    <xf numFmtId="183" fontId="10" fillId="0" borderId="6" xfId="10" applyNumberFormat="1" applyFont="1" applyFill="1" applyBorder="1" applyAlignment="1" applyProtection="1">
      <alignment horizontal="center" vertical="center"/>
    </xf>
    <xf numFmtId="179" fontId="14" fillId="4" borderId="6" xfId="5" applyNumberFormat="1" applyFont="1" applyFill="1" applyBorder="1" applyAlignment="1" applyProtection="1">
      <alignment horizontal="center" vertical="center" wrapText="1"/>
    </xf>
    <xf numFmtId="184" fontId="10" fillId="0" borderId="6" xfId="11" applyNumberFormat="1" applyFont="1" applyBorder="1" applyAlignment="1">
      <alignment horizontal="center" vertical="center"/>
    </xf>
    <xf numFmtId="184" fontId="10" fillId="0" borderId="7" xfId="11" applyNumberFormat="1" applyFont="1" applyBorder="1" applyAlignment="1">
      <alignment horizontal="center" vertical="center"/>
    </xf>
    <xf numFmtId="1" fontId="9" fillId="0" borderId="0" xfId="7" applyNumberFormat="1" applyFont="1" applyAlignment="1">
      <alignment vertical="center"/>
    </xf>
    <xf numFmtId="0" fontId="9" fillId="0" borderId="0" xfId="7" applyFont="1" applyAlignment="1">
      <alignment vertical="center" wrapText="1"/>
    </xf>
    <xf numFmtId="0" fontId="10" fillId="0" borderId="8" xfId="7" applyFont="1" applyBorder="1" applyAlignment="1">
      <alignment horizontal="center" vertical="center" wrapText="1"/>
    </xf>
    <xf numFmtId="0" fontId="12" fillId="0" borderId="0" xfId="8" quotePrefix="1" applyFont="1" applyAlignment="1">
      <alignment horizontal="center" vertical="center"/>
    </xf>
    <xf numFmtId="0" fontId="10" fillId="2" borderId="0" xfId="9" quotePrefix="1" applyFont="1" applyFill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181" fontId="10" fillId="0" borderId="0" xfId="2" applyNumberFormat="1" applyFont="1" applyFill="1" applyBorder="1" applyAlignment="1" applyProtection="1">
      <alignment horizontal="center" vertical="center"/>
    </xf>
    <xf numFmtId="183" fontId="10" fillId="0" borderId="0" xfId="10" applyNumberFormat="1" applyFont="1" applyFill="1" applyBorder="1" applyAlignment="1" applyProtection="1">
      <alignment horizontal="center" vertical="center"/>
    </xf>
    <xf numFmtId="38" fontId="10" fillId="0" borderId="0" xfId="0" applyNumberFormat="1" applyFont="1" applyAlignment="1">
      <alignment horizontal="left" vertical="center"/>
    </xf>
    <xf numFmtId="3" fontId="10" fillId="0" borderId="0" xfId="1" applyFont="1" applyBorder="1" applyAlignment="1">
      <alignment horizontal="right" vertical="center"/>
    </xf>
    <xf numFmtId="184" fontId="10" fillId="0" borderId="0" xfId="11" applyNumberFormat="1" applyFont="1" applyAlignment="1">
      <alignment horizontal="center" vertical="center"/>
    </xf>
    <xf numFmtId="184" fontId="10" fillId="0" borderId="13" xfId="11" applyNumberFormat="1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176" fontId="10" fillId="3" borderId="0" xfId="0" applyNumberFormat="1" applyFont="1" applyFill="1" applyAlignment="1">
      <alignment horizontal="center" vertical="center"/>
    </xf>
    <xf numFmtId="9" fontId="10" fillId="3" borderId="0" xfId="0" quotePrefix="1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183" fontId="10" fillId="2" borderId="0" xfId="0" applyNumberFormat="1" applyFont="1" applyFill="1" applyAlignment="1">
      <alignment horizontal="center" vertical="center"/>
    </xf>
    <xf numFmtId="183" fontId="10" fillId="0" borderId="0" xfId="0" applyNumberFormat="1" applyFont="1" applyAlignment="1">
      <alignment horizontal="center" vertical="center"/>
    </xf>
    <xf numFmtId="183" fontId="10" fillId="0" borderId="13" xfId="0" applyNumberFormat="1" applyFont="1" applyBorder="1" applyAlignment="1">
      <alignment horizontal="center" vertical="center"/>
    </xf>
    <xf numFmtId="0" fontId="10" fillId="3" borderId="0" xfId="0" applyFont="1" applyFill="1"/>
    <xf numFmtId="38" fontId="10" fillId="0" borderId="22" xfId="0" applyNumberFormat="1" applyFont="1" applyBorder="1" applyAlignment="1">
      <alignment horizontal="left" vertical="center"/>
    </xf>
    <xf numFmtId="3" fontId="10" fillId="0" borderId="22" xfId="1" applyFont="1" applyBorder="1" applyAlignment="1">
      <alignment horizontal="right" vertical="center"/>
    </xf>
    <xf numFmtId="183" fontId="10" fillId="3" borderId="0" xfId="0" applyNumberFormat="1" applyFont="1" applyFill="1" applyAlignment="1">
      <alignment horizontal="center" vertical="center"/>
    </xf>
    <xf numFmtId="183" fontId="10" fillId="3" borderId="13" xfId="0" applyNumberFormat="1" applyFont="1" applyFill="1" applyBorder="1" applyAlignment="1">
      <alignment horizontal="center" vertical="center"/>
    </xf>
    <xf numFmtId="185" fontId="10" fillId="0" borderId="23" xfId="0" applyNumberFormat="1" applyFont="1" applyBorder="1" applyAlignment="1">
      <alignment horizontal="left" vertical="center"/>
    </xf>
    <xf numFmtId="181" fontId="10" fillId="0" borderId="23" xfId="2" applyNumberFormat="1" applyFont="1" applyFill="1" applyBorder="1" applyAlignment="1">
      <alignment horizontal="center" vertical="center"/>
    </xf>
    <xf numFmtId="181" fontId="10" fillId="0" borderId="24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left"/>
    </xf>
    <xf numFmtId="177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/>
    </xf>
    <xf numFmtId="38" fontId="10" fillId="0" borderId="25" xfId="0" applyNumberFormat="1" applyFont="1" applyBorder="1" applyAlignment="1">
      <alignment horizontal="left" vertical="center"/>
    </xf>
    <xf numFmtId="3" fontId="10" fillId="0" borderId="25" xfId="0" applyNumberFormat="1" applyFont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0" xfId="0" applyFont="1"/>
    <xf numFmtId="185" fontId="10" fillId="0" borderId="26" xfId="0" applyNumberFormat="1" applyFont="1" applyBorder="1" applyAlignment="1">
      <alignment horizontal="left" vertical="center"/>
    </xf>
    <xf numFmtId="181" fontId="10" fillId="0" borderId="26" xfId="2" applyNumberFormat="1" applyFont="1" applyFill="1" applyBorder="1" applyAlignment="1">
      <alignment horizontal="right" vertical="center"/>
    </xf>
    <xf numFmtId="180" fontId="10" fillId="0" borderId="27" xfId="2" applyFont="1" applyFill="1" applyBorder="1" applyAlignment="1">
      <alignment horizontal="right" vertical="center"/>
    </xf>
    <xf numFmtId="0" fontId="10" fillId="0" borderId="8" xfId="0" applyFont="1" applyBorder="1"/>
    <xf numFmtId="38" fontId="10" fillId="0" borderId="0" xfId="0" applyNumberFormat="1" applyFont="1" applyAlignment="1">
      <alignment horizontal="right" vertical="center"/>
    </xf>
    <xf numFmtId="0" fontId="10" fillId="0" borderId="1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176" fontId="10" fillId="0" borderId="6" xfId="0" applyNumberFormat="1" applyFont="1" applyBorder="1" applyAlignment="1">
      <alignment horizontal="left"/>
    </xf>
    <xf numFmtId="177" fontId="10" fillId="0" borderId="6" xfId="0" applyNumberFormat="1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13" xfId="0" applyFont="1" applyFill="1" applyBorder="1" applyAlignment="1">
      <alignment vertical="center"/>
    </xf>
    <xf numFmtId="0" fontId="9" fillId="0" borderId="28" xfId="0" applyFont="1" applyBorder="1"/>
    <xf numFmtId="0" fontId="9" fillId="0" borderId="29" xfId="0" applyFont="1" applyBorder="1"/>
    <xf numFmtId="0" fontId="9" fillId="0" borderId="29" xfId="0" applyFont="1" applyBorder="1" applyAlignment="1">
      <alignment horizontal="center"/>
    </xf>
    <xf numFmtId="176" fontId="9" fillId="0" borderId="29" xfId="0" applyNumberFormat="1" applyFont="1" applyBorder="1"/>
    <xf numFmtId="177" fontId="9" fillId="0" borderId="29" xfId="0" applyNumberFormat="1" applyFont="1" applyBorder="1" applyAlignment="1">
      <alignment horizontal="center"/>
    </xf>
    <xf numFmtId="176" fontId="9" fillId="0" borderId="29" xfId="0" applyNumberFormat="1" applyFont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0" xfId="0" applyFont="1"/>
    <xf numFmtId="176" fontId="9" fillId="3" borderId="31" xfId="0" applyNumberFormat="1" applyFont="1" applyFill="1" applyBorder="1" applyAlignment="1">
      <alignment horizontal="center" vertical="center" textRotation="255"/>
    </xf>
    <xf numFmtId="0" fontId="10" fillId="0" borderId="32" xfId="0" applyFont="1" applyBorder="1" applyAlignment="1">
      <alignment horizontal="left" vertical="center"/>
    </xf>
    <xf numFmtId="176" fontId="10" fillId="3" borderId="6" xfId="0" applyNumberFormat="1" applyFont="1" applyFill="1" applyBorder="1" applyAlignment="1">
      <alignment horizontal="left" vertical="center"/>
    </xf>
    <xf numFmtId="176" fontId="10" fillId="3" borderId="6" xfId="0" applyNumberFormat="1" applyFont="1" applyFill="1" applyBorder="1" applyAlignment="1">
      <alignment vertical="center"/>
    </xf>
    <xf numFmtId="176" fontId="10" fillId="3" borderId="7" xfId="0" applyNumberFormat="1" applyFont="1" applyFill="1" applyBorder="1" applyAlignment="1">
      <alignment vertical="center"/>
    </xf>
    <xf numFmtId="176" fontId="10" fillId="3" borderId="0" xfId="0" applyNumberFormat="1" applyFont="1" applyFill="1" applyAlignment="1">
      <alignment vertical="center"/>
    </xf>
    <xf numFmtId="176" fontId="9" fillId="3" borderId="33" xfId="0" applyNumberFormat="1" applyFont="1" applyFill="1" applyBorder="1" applyAlignment="1">
      <alignment horizontal="center" vertical="center" textRotation="255"/>
    </xf>
    <xf numFmtId="0" fontId="10" fillId="3" borderId="34" xfId="0" applyFont="1" applyFill="1" applyBorder="1" applyAlignment="1">
      <alignment vertical="center"/>
    </xf>
    <xf numFmtId="176" fontId="10" fillId="3" borderId="0" xfId="0" applyNumberFormat="1" applyFont="1" applyFill="1" applyAlignment="1">
      <alignment horizontal="left" vertical="center"/>
    </xf>
    <xf numFmtId="176" fontId="10" fillId="3" borderId="13" xfId="0" applyNumberFormat="1" applyFont="1" applyFill="1" applyBorder="1" applyAlignment="1">
      <alignment vertical="center"/>
    </xf>
    <xf numFmtId="0" fontId="15" fillId="3" borderId="34" xfId="0" applyFont="1" applyFill="1" applyBorder="1" applyAlignment="1">
      <alignment vertical="center"/>
    </xf>
    <xf numFmtId="176" fontId="9" fillId="3" borderId="35" xfId="0" applyNumberFormat="1" applyFont="1" applyFill="1" applyBorder="1" applyAlignment="1">
      <alignment horizontal="center" vertical="center" textRotation="255"/>
    </xf>
    <xf numFmtId="0" fontId="10" fillId="0" borderId="36" xfId="0" applyFont="1" applyBorder="1" applyAlignment="1">
      <alignment vertical="center"/>
    </xf>
    <xf numFmtId="176" fontId="10" fillId="3" borderId="29" xfId="0" applyNumberFormat="1" applyFont="1" applyFill="1" applyBorder="1" applyAlignment="1">
      <alignment horizontal="left" vertical="center"/>
    </xf>
    <xf numFmtId="176" fontId="10" fillId="3" borderId="29" xfId="0" applyNumberFormat="1" applyFont="1" applyFill="1" applyBorder="1" applyAlignment="1">
      <alignment vertical="center"/>
    </xf>
    <xf numFmtId="176" fontId="10" fillId="3" borderId="30" xfId="0" applyNumberFormat="1" applyFont="1" applyFill="1" applyBorder="1" applyAlignment="1">
      <alignment vertical="center"/>
    </xf>
    <xf numFmtId="176" fontId="4" fillId="0" borderId="0" xfId="0" applyNumberFormat="1" applyFont="1" applyAlignment="1">
      <alignment horizontal="center"/>
    </xf>
  </cellXfs>
  <cellStyles count="12">
    <cellStyle name="一般" xfId="0" builtinId="0"/>
    <cellStyle name="一般_1010220-新理想-新北郡-100萬-成本版" xfId="11" xr:uid="{A2DB9C09-F29D-44E1-9DB3-4F4E81C42B1B}"/>
    <cellStyle name="一般_8803-05RD_和泰汽車--中古車(2005.04月)_和泰汽車--中古車(2005.04月)_CANON數位相機(1004修改)_CANON數位相機(1004修改)_采威廣告0609_排期表-2009-0923" xfId="8" xr:uid="{B64EEFC5-62BA-4DD0-A37C-A3D7B360A44D}"/>
    <cellStyle name="一般_CD98Movie" xfId="3" xr:uid="{F1DCE280-B1F7-4244-ACC2-3B775C4345C5}"/>
    <cellStyle name="一般_ICBC-新卡上市930701sales_980909光合廣告-伴月灣200萬成本版-1_980910光合廣告-伴月灣200萬成本版(修)_991216 喜年來成本版_991216 喜年來成本版" xfId="9" xr:uid="{F2060E5E-88EF-49DE-BEB6-81FDB95FF052}"/>
    <cellStyle name="一般_ICBC-新卡上市930701sales_990719 德銀投信(10萬.15萬)成本版_990719 德銀投信(10萬.15萬)成本版_990806 保誠投信 (19萬未稅)成本版" xfId="4" xr:uid="{55B07D66-9A74-4AE4-B512-F91C022C4230}"/>
    <cellStyle name="一般_ICBC-新卡上市930701sales_990806 保誠投信 (19萬未稅)成本版" xfId="6" xr:uid="{306DE847-8AA7-4B57-9A63-B5FB3A66D8D2}"/>
    <cellStyle name="一般_小薛淡水建案160萬--950418計價版_990719 德銀投信(10萬.15萬)成本版_990719 德銀投信(10萬.15萬)成本版_990806 保誠投信 (19萬未稅)成本版" xfId="7" xr:uid="{34E6ADB9-8281-4DEE-9FCD-0285A6BECEE0}"/>
    <cellStyle name="千分位" xfId="1" builtinId="3"/>
    <cellStyle name="千分位 6" xfId="10" xr:uid="{9273F3D1-1A35-45DD-813A-854678280AC6}"/>
    <cellStyle name="貨幣" xfId="2" builtinId="4"/>
    <cellStyle name="貨幣 6" xfId="5" xr:uid="{E8C12EFA-B693-4954-BB09-195E6B3E7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4886-3D3E-42CA-A009-FC5FB74C29F5}">
  <sheetPr>
    <tabColor rgb="FF00B0F0"/>
    <pageSetUpPr fitToPage="1"/>
  </sheetPr>
  <dimension ref="A1:X32"/>
  <sheetViews>
    <sheetView showGridLines="0" view="pageBreakPreview" zoomScale="70" zoomScaleNormal="70" zoomScaleSheetLayoutView="70" workbookViewId="0">
      <selection activeCell="Y16" sqref="Y15:Y16"/>
    </sheetView>
  </sheetViews>
  <sheetFormatPr defaultColWidth="8.6484375" defaultRowHeight="25.7"/>
  <cols>
    <col min="1" max="1" width="21.546875" style="2" customWidth="1"/>
    <col min="2" max="2" width="18.6484375" style="2" customWidth="1"/>
    <col min="3" max="3" width="15.6484375" style="3" customWidth="1"/>
    <col min="4" max="4" width="9.546875" style="3" customWidth="1"/>
    <col min="5" max="5" width="11.34765625" style="4" customWidth="1"/>
    <col min="6" max="6" width="11.546875" style="5" customWidth="1"/>
    <col min="7" max="7" width="11.546875" style="4" customWidth="1"/>
    <col min="8" max="8" width="10.44921875" style="152" customWidth="1"/>
    <col min="9" max="9" width="14.546875" style="152" customWidth="1"/>
    <col min="10" max="10" width="14.09765625" style="4" customWidth="1"/>
    <col min="11" max="15" width="6.546875" style="7" customWidth="1"/>
    <col min="16" max="21" width="6.546875" style="3" customWidth="1"/>
    <col min="22" max="23" width="8.6484375" style="2"/>
    <col min="24" max="24" width="15.6484375" style="2" customWidth="1"/>
    <col min="25" max="16384" width="8.6484375" style="2"/>
  </cols>
  <sheetData>
    <row r="1" spans="1:24" ht="30" customHeight="1">
      <c r="A1" s="1" t="s">
        <v>0</v>
      </c>
      <c r="H1" s="6"/>
      <c r="I1" s="6"/>
      <c r="J1" s="6"/>
    </row>
    <row r="2" spans="1:24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9"/>
      <c r="Q2" s="9"/>
      <c r="R2" s="9"/>
      <c r="S2" s="9"/>
      <c r="T2" s="9"/>
      <c r="U2" s="9"/>
    </row>
    <row r="3" spans="1:24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9"/>
      <c r="Q3" s="9"/>
      <c r="R3" s="9"/>
      <c r="S3" s="9"/>
      <c r="T3" s="9"/>
      <c r="U3" s="9"/>
    </row>
    <row r="4" spans="1:24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9"/>
      <c r="Q4" s="9"/>
      <c r="R4" s="9"/>
      <c r="S4" s="9"/>
      <c r="T4" s="9"/>
      <c r="U4" s="9"/>
    </row>
    <row r="5" spans="1:24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7"/>
    </row>
    <row r="6" spans="1:24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18</v>
      </c>
      <c r="L6" s="37">
        <f>K6+1</f>
        <v>19</v>
      </c>
      <c r="M6" s="37">
        <f t="shared" ref="M6:U6" si="0">L6+1</f>
        <v>20</v>
      </c>
      <c r="N6" s="37">
        <f t="shared" si="0"/>
        <v>21</v>
      </c>
      <c r="O6" s="37">
        <f t="shared" si="0"/>
        <v>22</v>
      </c>
      <c r="P6" s="37">
        <f t="shared" si="0"/>
        <v>23</v>
      </c>
      <c r="Q6" s="37">
        <f t="shared" si="0"/>
        <v>24</v>
      </c>
      <c r="R6" s="37">
        <f t="shared" si="0"/>
        <v>25</v>
      </c>
      <c r="S6" s="37">
        <f t="shared" si="0"/>
        <v>26</v>
      </c>
      <c r="T6" s="37">
        <f t="shared" si="0"/>
        <v>27</v>
      </c>
      <c r="U6" s="38">
        <f t="shared" si="0"/>
        <v>28</v>
      </c>
    </row>
    <row r="7" spans="1:24" s="28" customFormat="1" ht="29.25" customHeight="1" thickBot="1">
      <c r="A7" s="29"/>
      <c r="B7" s="30"/>
      <c r="C7" s="31"/>
      <c r="D7" s="32"/>
      <c r="E7" s="33"/>
      <c r="F7" s="33"/>
      <c r="G7" s="33"/>
      <c r="H7" s="32"/>
      <c r="I7" s="34"/>
      <c r="J7" s="35"/>
      <c r="K7" s="39" t="s">
        <v>20</v>
      </c>
      <c r="L7" s="40" t="s">
        <v>21</v>
      </c>
      <c r="M7" s="40" t="s">
        <v>21</v>
      </c>
      <c r="N7" s="39" t="s">
        <v>22</v>
      </c>
      <c r="O7" s="39" t="s">
        <v>23</v>
      </c>
      <c r="P7" s="39" t="s">
        <v>24</v>
      </c>
      <c r="Q7" s="39" t="s">
        <v>23</v>
      </c>
      <c r="R7" s="40" t="s">
        <v>21</v>
      </c>
      <c r="S7" s="40" t="s">
        <v>21</v>
      </c>
      <c r="T7" s="39" t="s">
        <v>22</v>
      </c>
      <c r="U7" s="41" t="s">
        <v>23</v>
      </c>
    </row>
    <row r="8" spans="1:24" s="28" customFormat="1" ht="57.95" customHeight="1">
      <c r="A8" s="42" t="s">
        <v>25</v>
      </c>
      <c r="B8" s="43" t="s">
        <v>26</v>
      </c>
      <c r="C8" s="44" t="s">
        <v>27</v>
      </c>
      <c r="D8" s="45" t="s">
        <v>28</v>
      </c>
      <c r="E8" s="46">
        <v>2600</v>
      </c>
      <c r="F8" s="46">
        <f t="shared" ref="F8:F9" si="1">E8*0.8</f>
        <v>2080</v>
      </c>
      <c r="G8" s="46">
        <f t="shared" ref="G8:G9" si="2">E8*0.75</f>
        <v>1950</v>
      </c>
      <c r="H8" s="47">
        <f>SUM(K8:U8)</f>
        <v>840</v>
      </c>
      <c r="I8" s="46">
        <f>G8*H8</f>
        <v>1638000</v>
      </c>
      <c r="J8" s="48">
        <f>250000/8400*(H8*10)</f>
        <v>250000</v>
      </c>
      <c r="K8" s="49">
        <v>77</v>
      </c>
      <c r="L8" s="50">
        <f>K8</f>
        <v>77</v>
      </c>
      <c r="M8" s="50">
        <f>L8</f>
        <v>77</v>
      </c>
      <c r="N8" s="50">
        <f>M8</f>
        <v>77</v>
      </c>
      <c r="O8" s="50">
        <v>76</v>
      </c>
      <c r="P8" s="50">
        <f>O8</f>
        <v>76</v>
      </c>
      <c r="Q8" s="50">
        <f>P8</f>
        <v>76</v>
      </c>
      <c r="R8" s="50">
        <f>Q8</f>
        <v>76</v>
      </c>
      <c r="S8" s="50">
        <f>R8</f>
        <v>76</v>
      </c>
      <c r="T8" s="50">
        <f>S8</f>
        <v>76</v>
      </c>
      <c r="U8" s="51">
        <f>T8</f>
        <v>76</v>
      </c>
    </row>
    <row r="9" spans="1:24" s="28" customFormat="1" ht="58.35" customHeight="1" thickBot="1">
      <c r="A9" s="52"/>
      <c r="B9" s="53" t="s">
        <v>29</v>
      </c>
      <c r="C9" s="54" t="s">
        <v>30</v>
      </c>
      <c r="D9" s="55" t="s">
        <v>28</v>
      </c>
      <c r="E9" s="56">
        <v>2600</v>
      </c>
      <c r="F9" s="56">
        <f t="shared" si="1"/>
        <v>2080</v>
      </c>
      <c r="G9" s="56">
        <f t="shared" si="2"/>
        <v>1950</v>
      </c>
      <c r="H9" s="57">
        <f>SUM(K9:U9)</f>
        <v>1440</v>
      </c>
      <c r="I9" s="56">
        <f>G9*H9</f>
        <v>2808000</v>
      </c>
      <c r="J9" s="58" t="s">
        <v>31</v>
      </c>
      <c r="K9" s="59">
        <v>131</v>
      </c>
      <c r="L9" s="60">
        <f>K9</f>
        <v>131</v>
      </c>
      <c r="M9" s="60">
        <f>L9</f>
        <v>131</v>
      </c>
      <c r="N9" s="60">
        <f>M9</f>
        <v>131</v>
      </c>
      <c r="O9" s="60">
        <f>N9</f>
        <v>131</v>
      </c>
      <c r="P9" s="60">
        <f>O9</f>
        <v>131</v>
      </c>
      <c r="Q9" s="60">
        <f>P9</f>
        <v>131</v>
      </c>
      <c r="R9" s="60">
        <f>Q9</f>
        <v>131</v>
      </c>
      <c r="S9" s="60">
        <f>R9</f>
        <v>131</v>
      </c>
      <c r="T9" s="60">
        <f>S9</f>
        <v>131</v>
      </c>
      <c r="U9" s="61">
        <v>130</v>
      </c>
    </row>
    <row r="10" spans="1:24" s="28" customFormat="1" ht="22.35" customHeight="1">
      <c r="A10" s="62"/>
      <c r="B10" s="63"/>
      <c r="C10" s="64"/>
      <c r="D10" s="65"/>
      <c r="E10" s="66"/>
      <c r="F10" s="66"/>
      <c r="G10" s="66"/>
      <c r="H10" s="67"/>
      <c r="I10" s="66"/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0"/>
      <c r="W10" s="71"/>
      <c r="X10" s="72"/>
    </row>
    <row r="11" spans="1:24" s="28" customFormat="1" ht="22.7" customHeight="1">
      <c r="A11" s="73"/>
      <c r="B11" s="74"/>
      <c r="C11" s="75"/>
      <c r="D11" s="76"/>
      <c r="E11" s="77"/>
      <c r="F11" s="77"/>
      <c r="G11" s="77"/>
      <c r="H11" s="78"/>
      <c r="I11" s="79" t="s">
        <v>32</v>
      </c>
      <c r="J11" s="80">
        <f>SUM(J8:J9)</f>
        <v>250000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2"/>
      <c r="W11" s="71"/>
    </row>
    <row r="12" spans="1:24" s="93" customFormat="1" ht="22.7" customHeight="1">
      <c r="A12" s="83"/>
      <c r="B12" s="84"/>
      <c r="C12" s="85"/>
      <c r="D12" s="85"/>
      <c r="E12" s="86"/>
      <c r="F12" s="87"/>
      <c r="G12" s="86"/>
      <c r="H12" s="86"/>
      <c r="I12" s="88" t="s">
        <v>33</v>
      </c>
      <c r="J12" s="89" t="s">
        <v>34</v>
      </c>
      <c r="K12" s="90"/>
      <c r="L12" s="90"/>
      <c r="M12" s="90"/>
      <c r="N12" s="90"/>
      <c r="O12" s="91"/>
      <c r="P12" s="91"/>
      <c r="Q12" s="91"/>
      <c r="R12" s="91"/>
      <c r="S12" s="91"/>
      <c r="T12" s="91"/>
      <c r="U12" s="92"/>
    </row>
    <row r="13" spans="1:24" s="93" customFormat="1" ht="22.7" customHeight="1" thickBot="1">
      <c r="A13" s="83"/>
      <c r="B13" s="84"/>
      <c r="C13" s="85"/>
      <c r="D13" s="85"/>
      <c r="E13" s="86"/>
      <c r="F13" s="87"/>
      <c r="G13" s="86"/>
      <c r="H13" s="86"/>
      <c r="I13" s="94" t="s">
        <v>35</v>
      </c>
      <c r="J13" s="95">
        <f>SUM(J11:J12)*5%</f>
        <v>12500</v>
      </c>
      <c r="K13" s="90"/>
      <c r="L13" s="90"/>
      <c r="M13" s="90"/>
      <c r="N13" s="90"/>
      <c r="O13" s="90"/>
      <c r="P13" s="96"/>
      <c r="Q13" s="96"/>
      <c r="R13" s="96"/>
      <c r="S13" s="96"/>
      <c r="T13" s="96"/>
      <c r="U13" s="97"/>
    </row>
    <row r="14" spans="1:24" s="109" customFormat="1" ht="22.7" customHeight="1" thickBot="1">
      <c r="A14" s="98" t="s">
        <v>36</v>
      </c>
      <c r="B14" s="99">
        <f>SUM(I8:I9)</f>
        <v>4446000</v>
      </c>
      <c r="C14" s="100"/>
      <c r="D14" s="101"/>
      <c r="E14" s="102"/>
      <c r="F14" s="103"/>
      <c r="G14" s="102"/>
      <c r="H14" s="104"/>
      <c r="I14" s="105" t="s">
        <v>37</v>
      </c>
      <c r="J14" s="106">
        <f>SUM(J11:J13)</f>
        <v>262500</v>
      </c>
      <c r="K14" s="107"/>
      <c r="L14" s="107"/>
      <c r="M14" s="107"/>
      <c r="N14" s="107"/>
      <c r="O14" s="107"/>
      <c r="P14" s="101"/>
      <c r="Q14" s="101"/>
      <c r="R14" s="101"/>
      <c r="S14" s="101"/>
      <c r="T14" s="101"/>
      <c r="U14" s="108"/>
    </row>
    <row r="15" spans="1:24" s="109" customFormat="1" ht="22.7" customHeight="1" thickTop="1" thickBot="1">
      <c r="A15" s="110" t="s">
        <v>38</v>
      </c>
      <c r="B15" s="111">
        <f>B14-J8</f>
        <v>4196000</v>
      </c>
      <c r="C15" s="112"/>
      <c r="D15" s="101"/>
      <c r="E15" s="102"/>
      <c r="F15" s="103"/>
      <c r="G15" s="102"/>
      <c r="H15" s="104"/>
      <c r="K15" s="107"/>
      <c r="L15" s="107"/>
      <c r="M15" s="107"/>
      <c r="N15" s="107"/>
      <c r="O15" s="107"/>
      <c r="P15" s="101"/>
      <c r="Q15" s="101"/>
      <c r="R15" s="101"/>
      <c r="S15" s="101"/>
      <c r="T15" s="101"/>
      <c r="U15" s="108"/>
    </row>
    <row r="16" spans="1:24" s="109" customFormat="1" ht="24.45" customHeight="1">
      <c r="A16" s="113" t="s">
        <v>3</v>
      </c>
      <c r="C16" s="101"/>
      <c r="D16" s="101"/>
      <c r="E16" s="102"/>
      <c r="F16" s="103"/>
      <c r="G16" s="102"/>
      <c r="H16" s="104"/>
      <c r="K16" s="107"/>
      <c r="L16" s="107"/>
      <c r="M16" s="107"/>
      <c r="N16" s="107"/>
      <c r="O16" s="107"/>
      <c r="P16" s="101"/>
      <c r="Q16" s="101"/>
      <c r="R16" s="101"/>
      <c r="S16" s="101"/>
      <c r="T16" s="101"/>
      <c r="U16" s="108"/>
    </row>
    <row r="17" spans="1:21" s="109" customFormat="1" ht="24.45" customHeight="1">
      <c r="A17" s="113"/>
      <c r="C17" s="101"/>
      <c r="D17" s="101"/>
      <c r="E17" s="102"/>
      <c r="F17" s="103"/>
      <c r="G17" s="102"/>
      <c r="H17" s="104"/>
      <c r="K17" s="107"/>
      <c r="L17" s="107"/>
      <c r="M17" s="107"/>
      <c r="N17" s="107"/>
      <c r="O17" s="107"/>
      <c r="P17" s="101"/>
      <c r="Q17" s="101"/>
      <c r="R17" s="101"/>
      <c r="S17" s="101"/>
      <c r="T17" s="101"/>
      <c r="U17" s="108"/>
    </row>
    <row r="18" spans="1:21" s="109" customFormat="1" ht="24.45" customHeight="1" thickBot="1">
      <c r="A18" s="113"/>
      <c r="C18" s="101"/>
      <c r="D18" s="101"/>
      <c r="E18" s="102"/>
      <c r="F18" s="103"/>
      <c r="I18" s="79"/>
      <c r="J18" s="114"/>
      <c r="K18" s="107"/>
      <c r="L18" s="107"/>
      <c r="M18" s="107"/>
      <c r="N18" s="107"/>
      <c r="O18" s="107"/>
      <c r="P18" s="101"/>
      <c r="Q18" s="101"/>
      <c r="R18" s="101"/>
      <c r="S18" s="101"/>
      <c r="T18" s="101"/>
      <c r="U18" s="108"/>
    </row>
    <row r="19" spans="1:21" s="109" customFormat="1" ht="23.85" customHeight="1">
      <c r="A19" s="115"/>
      <c r="B19" s="116"/>
      <c r="C19" s="117"/>
      <c r="D19" s="117"/>
      <c r="E19" s="118"/>
      <c r="F19" s="119"/>
      <c r="G19" s="116"/>
      <c r="H19" s="116"/>
      <c r="I19" s="116"/>
      <c r="J19" s="116"/>
      <c r="K19" s="120"/>
      <c r="L19" s="120"/>
      <c r="M19" s="120"/>
      <c r="N19" s="120"/>
      <c r="O19" s="120"/>
      <c r="P19" s="117"/>
      <c r="Q19" s="117"/>
      <c r="R19" s="117"/>
      <c r="S19" s="117"/>
      <c r="T19" s="117"/>
      <c r="U19" s="121"/>
    </row>
    <row r="20" spans="1:21" s="109" customFormat="1" ht="23.85" customHeight="1">
      <c r="A20" s="113"/>
      <c r="C20" s="101"/>
      <c r="D20" s="101"/>
      <c r="E20" s="102"/>
      <c r="F20" s="103"/>
      <c r="K20" s="107"/>
      <c r="L20" s="107"/>
      <c r="M20" s="107"/>
      <c r="N20" s="107"/>
      <c r="O20" s="107"/>
      <c r="P20" s="101"/>
      <c r="Q20" s="101"/>
      <c r="R20" s="101"/>
      <c r="S20" s="101"/>
      <c r="T20" s="101"/>
      <c r="U20" s="108"/>
    </row>
    <row r="21" spans="1:21" s="124" customFormat="1" ht="23.85" customHeight="1">
      <c r="A21" s="122" t="s">
        <v>39</v>
      </c>
      <c r="B21" s="123" t="s">
        <v>3</v>
      </c>
      <c r="D21" s="84" t="s">
        <v>40</v>
      </c>
      <c r="I21" s="124" t="s">
        <v>41</v>
      </c>
      <c r="O21" s="125" t="s">
        <v>42</v>
      </c>
      <c r="U21" s="126"/>
    </row>
    <row r="22" spans="1:21" s="124" customFormat="1" ht="23.85" customHeight="1">
      <c r="A22" s="122"/>
      <c r="B22" s="123"/>
      <c r="P22" s="125"/>
      <c r="U22" s="126"/>
    </row>
    <row r="23" spans="1:21" s="135" customFormat="1" ht="23.85" customHeight="1" thickBot="1">
      <c r="A23" s="127"/>
      <c r="B23" s="128"/>
      <c r="C23" s="129"/>
      <c r="D23" s="129"/>
      <c r="E23" s="130"/>
      <c r="F23" s="131"/>
      <c r="G23" s="130"/>
      <c r="H23" s="132"/>
      <c r="I23" s="132"/>
      <c r="J23" s="130"/>
      <c r="K23" s="133"/>
      <c r="L23" s="133"/>
      <c r="M23" s="133"/>
      <c r="N23" s="133"/>
      <c r="O23" s="133"/>
      <c r="P23" s="129"/>
      <c r="Q23" s="129"/>
      <c r="R23" s="129"/>
      <c r="S23" s="129"/>
      <c r="T23" s="129"/>
      <c r="U23" s="134"/>
    </row>
    <row r="24" spans="1:21" s="141" customFormat="1" ht="29.25" customHeight="1">
      <c r="A24" s="136" t="s">
        <v>43</v>
      </c>
      <c r="B24" s="137" t="s">
        <v>44</v>
      </c>
      <c r="C24" s="138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40"/>
    </row>
    <row r="25" spans="1:21" s="141" customFormat="1" ht="29.25" customHeight="1">
      <c r="A25" s="142"/>
      <c r="B25" s="143" t="s">
        <v>45</v>
      </c>
      <c r="C25" s="144"/>
      <c r="U25" s="145"/>
    </row>
    <row r="26" spans="1:21" s="141" customFormat="1" ht="29.25" customHeight="1">
      <c r="A26" s="142"/>
      <c r="B26" s="143" t="s">
        <v>46</v>
      </c>
      <c r="C26" s="144"/>
      <c r="U26" s="145"/>
    </row>
    <row r="27" spans="1:21" s="141" customFormat="1" ht="29.25" customHeight="1">
      <c r="A27" s="142"/>
      <c r="B27" s="143" t="s">
        <v>47</v>
      </c>
      <c r="C27" s="144"/>
      <c r="U27" s="145"/>
    </row>
    <row r="28" spans="1:21" s="141" customFormat="1" ht="29.25" customHeight="1">
      <c r="A28" s="142"/>
      <c r="B28" s="146" t="s">
        <v>48</v>
      </c>
      <c r="C28" s="144"/>
      <c r="U28" s="145"/>
    </row>
    <row r="29" spans="1:21" s="141" customFormat="1" ht="29.25" customHeight="1">
      <c r="A29" s="142"/>
      <c r="B29" s="143" t="s">
        <v>49</v>
      </c>
      <c r="C29" s="144"/>
      <c r="U29" s="145"/>
    </row>
    <row r="30" spans="1:21" s="141" customFormat="1" ht="29.25" customHeight="1">
      <c r="A30" s="142"/>
      <c r="B30" s="143" t="s">
        <v>50</v>
      </c>
      <c r="C30" s="144"/>
      <c r="U30" s="145"/>
    </row>
    <row r="31" spans="1:21" s="141" customFormat="1" ht="29.25" customHeight="1">
      <c r="A31" s="142"/>
      <c r="B31" s="143" t="s">
        <v>51</v>
      </c>
      <c r="C31" s="144"/>
      <c r="U31" s="145"/>
    </row>
    <row r="32" spans="1:21" s="141" customFormat="1" ht="29.25" customHeight="1" thickBot="1">
      <c r="A32" s="147"/>
      <c r="B32" s="148" t="s">
        <v>52</v>
      </c>
      <c r="C32" s="149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1"/>
    </row>
  </sheetData>
  <mergeCells count="17">
    <mergeCell ref="K10:U10"/>
    <mergeCell ref="K11:U11"/>
    <mergeCell ref="B14:C14"/>
    <mergeCell ref="B15:C15"/>
    <mergeCell ref="A24:A32"/>
    <mergeCell ref="G5:G7"/>
    <mergeCell ref="H5:H7"/>
    <mergeCell ref="I5:I7"/>
    <mergeCell ref="J5:J7"/>
    <mergeCell ref="A8:A9"/>
    <mergeCell ref="A10:A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19685039370078741" bottom="3.937007874015748E-2" header="0.15748031496062992" footer="0.19685039370078741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9E69-52B5-4629-AF96-1E7643C57B7A}">
  <sheetPr>
    <tabColor rgb="FF00B0F0"/>
    <pageSetUpPr fitToPage="1"/>
  </sheetPr>
  <dimension ref="A1:X32"/>
  <sheetViews>
    <sheetView showGridLines="0" view="pageBreakPreview" zoomScale="70" zoomScaleNormal="70" zoomScaleSheetLayoutView="70" workbookViewId="0">
      <selection activeCell="N15" sqref="N15"/>
    </sheetView>
  </sheetViews>
  <sheetFormatPr defaultColWidth="8.6484375" defaultRowHeight="25.7"/>
  <cols>
    <col min="1" max="1" width="21.546875" style="2" customWidth="1"/>
    <col min="2" max="2" width="18.6484375" style="2" customWidth="1"/>
    <col min="3" max="3" width="15.6484375" style="3" customWidth="1"/>
    <col min="4" max="4" width="9.546875" style="3" customWidth="1"/>
    <col min="5" max="5" width="11.34765625" style="4" customWidth="1"/>
    <col min="6" max="6" width="11.546875" style="5" customWidth="1"/>
    <col min="7" max="7" width="11.546875" style="4" customWidth="1"/>
    <col min="8" max="8" width="10.44921875" style="152" customWidth="1"/>
    <col min="9" max="9" width="14.546875" style="152" customWidth="1"/>
    <col min="10" max="10" width="14.09765625" style="4" customWidth="1"/>
    <col min="11" max="15" width="6.546875" style="7" customWidth="1"/>
    <col min="16" max="21" width="6.546875" style="3" customWidth="1"/>
    <col min="22" max="23" width="8.6484375" style="2"/>
    <col min="24" max="24" width="15.6484375" style="2" customWidth="1"/>
    <col min="25" max="16384" width="8.6484375" style="2"/>
  </cols>
  <sheetData>
    <row r="1" spans="1:24" ht="30" customHeight="1">
      <c r="A1" s="1" t="s">
        <v>0</v>
      </c>
      <c r="H1" s="6"/>
      <c r="I1" s="6"/>
      <c r="J1" s="6"/>
    </row>
    <row r="2" spans="1:24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9"/>
      <c r="Q2" s="9"/>
      <c r="R2" s="9"/>
      <c r="S2" s="9"/>
      <c r="T2" s="9"/>
      <c r="U2" s="9"/>
    </row>
    <row r="3" spans="1:24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9"/>
      <c r="Q3" s="9"/>
      <c r="R3" s="9"/>
      <c r="S3" s="9"/>
      <c r="T3" s="9"/>
      <c r="U3" s="9"/>
    </row>
    <row r="4" spans="1:24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9"/>
      <c r="Q4" s="9"/>
      <c r="R4" s="9"/>
      <c r="S4" s="9"/>
      <c r="T4" s="9"/>
      <c r="U4" s="9"/>
    </row>
    <row r="5" spans="1:24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7"/>
    </row>
    <row r="6" spans="1:24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18</v>
      </c>
      <c r="L6" s="37">
        <f>K6+1</f>
        <v>19</v>
      </c>
      <c r="M6" s="37">
        <f t="shared" ref="M6:U6" si="0">L6+1</f>
        <v>20</v>
      </c>
      <c r="N6" s="37">
        <f t="shared" si="0"/>
        <v>21</v>
      </c>
      <c r="O6" s="37">
        <f t="shared" si="0"/>
        <v>22</v>
      </c>
      <c r="P6" s="37">
        <f t="shared" si="0"/>
        <v>23</v>
      </c>
      <c r="Q6" s="37">
        <f t="shared" si="0"/>
        <v>24</v>
      </c>
      <c r="R6" s="37">
        <f t="shared" si="0"/>
        <v>25</v>
      </c>
      <c r="S6" s="37">
        <f t="shared" si="0"/>
        <v>26</v>
      </c>
      <c r="T6" s="37">
        <f t="shared" si="0"/>
        <v>27</v>
      </c>
      <c r="U6" s="38">
        <f t="shared" si="0"/>
        <v>28</v>
      </c>
    </row>
    <row r="7" spans="1:24" s="28" customFormat="1" ht="29.25" customHeight="1" thickBot="1">
      <c r="A7" s="29"/>
      <c r="B7" s="30"/>
      <c r="C7" s="31"/>
      <c r="D7" s="32"/>
      <c r="E7" s="33"/>
      <c r="F7" s="33"/>
      <c r="G7" s="33"/>
      <c r="H7" s="32"/>
      <c r="I7" s="34"/>
      <c r="J7" s="35"/>
      <c r="K7" s="39" t="s">
        <v>20</v>
      </c>
      <c r="L7" s="40" t="s">
        <v>21</v>
      </c>
      <c r="M7" s="40" t="s">
        <v>21</v>
      </c>
      <c r="N7" s="39" t="s">
        <v>22</v>
      </c>
      <c r="O7" s="39" t="s">
        <v>23</v>
      </c>
      <c r="P7" s="39" t="s">
        <v>24</v>
      </c>
      <c r="Q7" s="39" t="s">
        <v>23</v>
      </c>
      <c r="R7" s="40" t="s">
        <v>21</v>
      </c>
      <c r="S7" s="40" t="s">
        <v>21</v>
      </c>
      <c r="T7" s="39" t="s">
        <v>22</v>
      </c>
      <c r="U7" s="41" t="s">
        <v>23</v>
      </c>
    </row>
    <row r="8" spans="1:24" s="28" customFormat="1" ht="57.95" customHeight="1">
      <c r="A8" s="42" t="s">
        <v>25</v>
      </c>
      <c r="B8" s="43" t="s">
        <v>26</v>
      </c>
      <c r="C8" s="44" t="s">
        <v>27</v>
      </c>
      <c r="D8" s="45" t="s">
        <v>53</v>
      </c>
      <c r="E8" s="46">
        <v>3400</v>
      </c>
      <c r="F8" s="46">
        <f t="shared" ref="F8:F9" si="1">E8*0.8</f>
        <v>2720</v>
      </c>
      <c r="G8" s="46">
        <f t="shared" ref="G8:G9" si="2">E8*0.75</f>
        <v>2550</v>
      </c>
      <c r="H8" s="47">
        <f>SUM(K8:U8)</f>
        <v>560</v>
      </c>
      <c r="I8" s="46">
        <f>G8*H8</f>
        <v>1428000</v>
      </c>
      <c r="J8" s="48">
        <f>250000/8400*(H8*15)</f>
        <v>250000</v>
      </c>
      <c r="K8" s="49">
        <v>51</v>
      </c>
      <c r="L8" s="50">
        <f>K8</f>
        <v>51</v>
      </c>
      <c r="M8" s="50">
        <f>L8</f>
        <v>51</v>
      </c>
      <c r="N8" s="50">
        <f>M8</f>
        <v>51</v>
      </c>
      <c r="O8" s="50">
        <f>N8</f>
        <v>51</v>
      </c>
      <c r="P8" s="50">
        <f>O8</f>
        <v>51</v>
      </c>
      <c r="Q8" s="50">
        <f>P8</f>
        <v>51</v>
      </c>
      <c r="R8" s="50">
        <f>Q8</f>
        <v>51</v>
      </c>
      <c r="S8" s="50">
        <f>R8</f>
        <v>51</v>
      </c>
      <c r="T8" s="50">
        <f>S8</f>
        <v>51</v>
      </c>
      <c r="U8" s="51">
        <v>50</v>
      </c>
    </row>
    <row r="9" spans="1:24" s="28" customFormat="1" ht="58.35" customHeight="1" thickBot="1">
      <c r="A9" s="52"/>
      <c r="B9" s="53" t="s">
        <v>29</v>
      </c>
      <c r="C9" s="54" t="s">
        <v>30</v>
      </c>
      <c r="D9" s="55" t="s">
        <v>53</v>
      </c>
      <c r="E9" s="56">
        <v>3400</v>
      </c>
      <c r="F9" s="56">
        <f t="shared" si="1"/>
        <v>2720</v>
      </c>
      <c r="G9" s="56">
        <f t="shared" si="2"/>
        <v>2550</v>
      </c>
      <c r="H9" s="57">
        <f>SUM(K9:U9)</f>
        <v>960</v>
      </c>
      <c r="I9" s="56">
        <f>G9*H9</f>
        <v>2448000</v>
      </c>
      <c r="J9" s="58" t="s">
        <v>31</v>
      </c>
      <c r="K9" s="59">
        <v>88</v>
      </c>
      <c r="L9" s="60">
        <f>K9</f>
        <v>88</v>
      </c>
      <c r="M9" s="60">
        <f>L9</f>
        <v>88</v>
      </c>
      <c r="N9" s="60">
        <v>87</v>
      </c>
      <c r="O9" s="60">
        <f>N9</f>
        <v>87</v>
      </c>
      <c r="P9" s="60">
        <f>O9</f>
        <v>87</v>
      </c>
      <c r="Q9" s="60">
        <f>P9</f>
        <v>87</v>
      </c>
      <c r="R9" s="60">
        <f>Q9</f>
        <v>87</v>
      </c>
      <c r="S9" s="60">
        <f>R9</f>
        <v>87</v>
      </c>
      <c r="T9" s="60">
        <f>S9</f>
        <v>87</v>
      </c>
      <c r="U9" s="61">
        <f>T9</f>
        <v>87</v>
      </c>
    </row>
    <row r="10" spans="1:24" s="28" customFormat="1" ht="22.35" customHeight="1">
      <c r="A10" s="62"/>
      <c r="B10" s="63"/>
      <c r="C10" s="64"/>
      <c r="D10" s="65"/>
      <c r="E10" s="66"/>
      <c r="F10" s="66"/>
      <c r="G10" s="66"/>
      <c r="H10" s="67"/>
      <c r="I10" s="66"/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0"/>
      <c r="W10" s="71"/>
      <c r="X10" s="72"/>
    </row>
    <row r="11" spans="1:24" s="28" customFormat="1" ht="22.7" customHeight="1">
      <c r="A11" s="73"/>
      <c r="B11" s="74"/>
      <c r="C11" s="75"/>
      <c r="D11" s="76"/>
      <c r="E11" s="77"/>
      <c r="F11" s="77"/>
      <c r="G11" s="77"/>
      <c r="H11" s="78"/>
      <c r="I11" s="79" t="s">
        <v>32</v>
      </c>
      <c r="J11" s="80">
        <f>SUM(J8:J9)</f>
        <v>250000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2"/>
      <c r="W11" s="71"/>
    </row>
    <row r="12" spans="1:24" s="93" customFormat="1" ht="22.7" customHeight="1">
      <c r="A12" s="83"/>
      <c r="B12" s="84"/>
      <c r="C12" s="85"/>
      <c r="D12" s="85"/>
      <c r="E12" s="86"/>
      <c r="F12" s="87"/>
      <c r="G12" s="86"/>
      <c r="H12" s="86"/>
      <c r="I12" s="88" t="s">
        <v>33</v>
      </c>
      <c r="J12" s="89" t="s">
        <v>34</v>
      </c>
      <c r="K12" s="90"/>
      <c r="L12" s="90"/>
      <c r="M12" s="90"/>
      <c r="N12" s="90"/>
      <c r="O12" s="91"/>
      <c r="P12" s="91"/>
      <c r="Q12" s="91"/>
      <c r="R12" s="91"/>
      <c r="S12" s="91"/>
      <c r="T12" s="91"/>
      <c r="U12" s="92"/>
    </row>
    <row r="13" spans="1:24" s="93" customFormat="1" ht="22.7" customHeight="1" thickBot="1">
      <c r="A13" s="83"/>
      <c r="B13" s="84"/>
      <c r="C13" s="85"/>
      <c r="D13" s="85"/>
      <c r="E13" s="86"/>
      <c r="F13" s="87"/>
      <c r="G13" s="86"/>
      <c r="H13" s="86"/>
      <c r="I13" s="94" t="s">
        <v>35</v>
      </c>
      <c r="J13" s="95">
        <f>SUM(J11:J12)*5%</f>
        <v>12500</v>
      </c>
      <c r="K13" s="90"/>
      <c r="L13" s="90"/>
      <c r="M13" s="90"/>
      <c r="N13" s="90"/>
      <c r="O13" s="90"/>
      <c r="P13" s="96"/>
      <c r="Q13" s="96"/>
      <c r="R13" s="96"/>
      <c r="S13" s="96"/>
      <c r="T13" s="96"/>
      <c r="U13" s="97"/>
    </row>
    <row r="14" spans="1:24" s="109" customFormat="1" ht="22.7" customHeight="1" thickBot="1">
      <c r="A14" s="98" t="s">
        <v>36</v>
      </c>
      <c r="B14" s="99">
        <f>SUM(I8:I9)</f>
        <v>3876000</v>
      </c>
      <c r="C14" s="100"/>
      <c r="D14" s="101"/>
      <c r="E14" s="102"/>
      <c r="F14" s="103"/>
      <c r="G14" s="102"/>
      <c r="H14" s="104"/>
      <c r="I14" s="105" t="s">
        <v>37</v>
      </c>
      <c r="J14" s="106">
        <f>SUM(J11:J13)</f>
        <v>262500</v>
      </c>
      <c r="K14" s="107"/>
      <c r="L14" s="107"/>
      <c r="M14" s="107"/>
      <c r="N14" s="107"/>
      <c r="O14" s="107"/>
      <c r="P14" s="101"/>
      <c r="Q14" s="101"/>
      <c r="R14" s="101"/>
      <c r="S14" s="101"/>
      <c r="T14" s="101"/>
      <c r="U14" s="108"/>
    </row>
    <row r="15" spans="1:24" s="109" customFormat="1" ht="22.7" customHeight="1" thickTop="1" thickBot="1">
      <c r="A15" s="110" t="s">
        <v>38</v>
      </c>
      <c r="B15" s="111">
        <f>B14-J8</f>
        <v>3626000</v>
      </c>
      <c r="C15" s="112"/>
      <c r="D15" s="101"/>
      <c r="E15" s="102"/>
      <c r="F15" s="103"/>
      <c r="G15" s="102"/>
      <c r="H15" s="104"/>
      <c r="K15" s="107"/>
      <c r="L15" s="107"/>
      <c r="M15" s="107"/>
      <c r="N15" s="107"/>
      <c r="O15" s="107"/>
      <c r="P15" s="101"/>
      <c r="Q15" s="101"/>
      <c r="R15" s="101"/>
      <c r="S15" s="101"/>
      <c r="T15" s="101"/>
      <c r="U15" s="108"/>
    </row>
    <row r="16" spans="1:24" s="109" customFormat="1" ht="24.45" customHeight="1">
      <c r="A16" s="113" t="s">
        <v>3</v>
      </c>
      <c r="C16" s="101"/>
      <c r="D16" s="101"/>
      <c r="E16" s="102"/>
      <c r="F16" s="103"/>
      <c r="G16" s="102"/>
      <c r="H16" s="104"/>
      <c r="K16" s="107"/>
      <c r="L16" s="107"/>
      <c r="M16" s="107"/>
      <c r="N16" s="107"/>
      <c r="O16" s="107"/>
      <c r="P16" s="101"/>
      <c r="Q16" s="101"/>
      <c r="R16" s="101"/>
      <c r="S16" s="101"/>
      <c r="T16" s="101"/>
      <c r="U16" s="108"/>
    </row>
    <row r="17" spans="1:21" s="109" customFormat="1" ht="24.45" customHeight="1">
      <c r="A17" s="113"/>
      <c r="C17" s="101"/>
      <c r="D17" s="101"/>
      <c r="E17" s="102"/>
      <c r="F17" s="103"/>
      <c r="G17" s="102"/>
      <c r="H17" s="104"/>
      <c r="K17" s="107"/>
      <c r="L17" s="107"/>
      <c r="M17" s="107"/>
      <c r="N17" s="107"/>
      <c r="O17" s="107"/>
      <c r="P17" s="101"/>
      <c r="Q17" s="101"/>
      <c r="R17" s="101"/>
      <c r="S17" s="101"/>
      <c r="T17" s="101"/>
      <c r="U17" s="108"/>
    </row>
    <row r="18" spans="1:21" s="109" customFormat="1" ht="24.45" customHeight="1" thickBot="1">
      <c r="A18" s="113"/>
      <c r="C18" s="101"/>
      <c r="D18" s="101"/>
      <c r="E18" s="102"/>
      <c r="F18" s="103"/>
      <c r="I18" s="79"/>
      <c r="J18" s="114"/>
      <c r="K18" s="107"/>
      <c r="L18" s="107"/>
      <c r="M18" s="107"/>
      <c r="N18" s="107"/>
      <c r="O18" s="107"/>
      <c r="P18" s="101"/>
      <c r="Q18" s="101"/>
      <c r="R18" s="101"/>
      <c r="S18" s="101"/>
      <c r="T18" s="101"/>
      <c r="U18" s="108"/>
    </row>
    <row r="19" spans="1:21" s="109" customFormat="1" ht="23.85" customHeight="1">
      <c r="A19" s="115"/>
      <c r="B19" s="116"/>
      <c r="C19" s="117"/>
      <c r="D19" s="117"/>
      <c r="E19" s="118"/>
      <c r="F19" s="119"/>
      <c r="G19" s="116"/>
      <c r="H19" s="116"/>
      <c r="I19" s="116"/>
      <c r="J19" s="116"/>
      <c r="K19" s="120"/>
      <c r="L19" s="120"/>
      <c r="M19" s="120"/>
      <c r="N19" s="120"/>
      <c r="O19" s="120"/>
      <c r="P19" s="117"/>
      <c r="Q19" s="117"/>
      <c r="R19" s="117"/>
      <c r="S19" s="117"/>
      <c r="T19" s="117"/>
      <c r="U19" s="121"/>
    </row>
    <row r="20" spans="1:21" s="109" customFormat="1" ht="23.85" customHeight="1">
      <c r="A20" s="113"/>
      <c r="C20" s="101"/>
      <c r="D20" s="101"/>
      <c r="E20" s="102"/>
      <c r="F20" s="103"/>
      <c r="K20" s="107"/>
      <c r="L20" s="107"/>
      <c r="M20" s="107"/>
      <c r="N20" s="107"/>
      <c r="O20" s="107"/>
      <c r="P20" s="101"/>
      <c r="Q20" s="101"/>
      <c r="R20" s="101"/>
      <c r="S20" s="101"/>
      <c r="T20" s="101"/>
      <c r="U20" s="108"/>
    </row>
    <row r="21" spans="1:21" s="124" customFormat="1" ht="23.85" customHeight="1">
      <c r="A21" s="122" t="s">
        <v>39</v>
      </c>
      <c r="B21" s="123" t="s">
        <v>3</v>
      </c>
      <c r="D21" s="84" t="s">
        <v>40</v>
      </c>
      <c r="I21" s="124" t="s">
        <v>41</v>
      </c>
      <c r="O21" s="125" t="s">
        <v>42</v>
      </c>
      <c r="U21" s="126"/>
    </row>
    <row r="22" spans="1:21" s="124" customFormat="1" ht="23.85" customHeight="1">
      <c r="A22" s="122"/>
      <c r="B22" s="123"/>
      <c r="P22" s="125"/>
      <c r="U22" s="126"/>
    </row>
    <row r="23" spans="1:21" s="135" customFormat="1" ht="23.85" customHeight="1" thickBot="1">
      <c r="A23" s="127"/>
      <c r="B23" s="128"/>
      <c r="C23" s="129"/>
      <c r="D23" s="129"/>
      <c r="E23" s="130"/>
      <c r="F23" s="131"/>
      <c r="G23" s="130"/>
      <c r="H23" s="132"/>
      <c r="I23" s="132"/>
      <c r="J23" s="130"/>
      <c r="K23" s="133"/>
      <c r="L23" s="133"/>
      <c r="M23" s="133"/>
      <c r="N23" s="133"/>
      <c r="O23" s="133"/>
      <c r="P23" s="129"/>
      <c r="Q23" s="129"/>
      <c r="R23" s="129"/>
      <c r="S23" s="129"/>
      <c r="T23" s="129"/>
      <c r="U23" s="134"/>
    </row>
    <row r="24" spans="1:21" s="141" customFormat="1" ht="29.25" customHeight="1">
      <c r="A24" s="136" t="s">
        <v>43</v>
      </c>
      <c r="B24" s="137" t="s">
        <v>44</v>
      </c>
      <c r="C24" s="138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40"/>
    </row>
    <row r="25" spans="1:21" s="141" customFormat="1" ht="29.25" customHeight="1">
      <c r="A25" s="142"/>
      <c r="B25" s="143" t="s">
        <v>45</v>
      </c>
      <c r="C25" s="144"/>
      <c r="U25" s="145"/>
    </row>
    <row r="26" spans="1:21" s="141" customFormat="1" ht="29.25" customHeight="1">
      <c r="A26" s="142"/>
      <c r="B26" s="143" t="s">
        <v>46</v>
      </c>
      <c r="C26" s="144"/>
      <c r="U26" s="145"/>
    </row>
    <row r="27" spans="1:21" s="141" customFormat="1" ht="29.25" customHeight="1">
      <c r="A27" s="142"/>
      <c r="B27" s="143" t="s">
        <v>47</v>
      </c>
      <c r="C27" s="144"/>
      <c r="U27" s="145"/>
    </row>
    <row r="28" spans="1:21" s="141" customFormat="1" ht="29.25" customHeight="1">
      <c r="A28" s="142"/>
      <c r="B28" s="146" t="s">
        <v>48</v>
      </c>
      <c r="C28" s="144"/>
      <c r="U28" s="145"/>
    </row>
    <row r="29" spans="1:21" s="141" customFormat="1" ht="29.25" customHeight="1">
      <c r="A29" s="142"/>
      <c r="B29" s="143" t="s">
        <v>49</v>
      </c>
      <c r="C29" s="144"/>
      <c r="U29" s="145"/>
    </row>
    <row r="30" spans="1:21" s="141" customFormat="1" ht="29.25" customHeight="1">
      <c r="A30" s="142"/>
      <c r="B30" s="143" t="s">
        <v>50</v>
      </c>
      <c r="C30" s="144"/>
      <c r="U30" s="145"/>
    </row>
    <row r="31" spans="1:21" s="141" customFormat="1" ht="29.25" customHeight="1">
      <c r="A31" s="142"/>
      <c r="B31" s="143" t="s">
        <v>51</v>
      </c>
      <c r="C31" s="144"/>
      <c r="U31" s="145"/>
    </row>
    <row r="32" spans="1:21" s="141" customFormat="1" ht="29.25" customHeight="1" thickBot="1">
      <c r="A32" s="147"/>
      <c r="B32" s="148" t="s">
        <v>52</v>
      </c>
      <c r="C32" s="149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1"/>
    </row>
  </sheetData>
  <mergeCells count="17">
    <mergeCell ref="K10:U10"/>
    <mergeCell ref="K11:U11"/>
    <mergeCell ref="B14:C14"/>
    <mergeCell ref="B15:C15"/>
    <mergeCell ref="A24:A32"/>
    <mergeCell ref="G5:G7"/>
    <mergeCell ref="H5:H7"/>
    <mergeCell ref="I5:I7"/>
    <mergeCell ref="J5:J7"/>
    <mergeCell ref="A8:A9"/>
    <mergeCell ref="A10:A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19685039370078741" bottom="3.937007874015748E-2" header="0.15748031496062992" footer="0.19685039370078741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12FA-B8C5-4AAC-8422-1C085763EAC4}">
  <sheetPr>
    <tabColor rgb="FF00B0F0"/>
    <pageSetUpPr fitToPage="1"/>
  </sheetPr>
  <dimension ref="A1:X32"/>
  <sheetViews>
    <sheetView showGridLines="0" tabSelected="1" view="pageBreakPreview" zoomScale="70" zoomScaleNormal="70" zoomScaleSheetLayoutView="70" workbookViewId="0">
      <selection activeCell="G15" sqref="G15"/>
    </sheetView>
  </sheetViews>
  <sheetFormatPr defaultColWidth="8.6484375" defaultRowHeight="25.7"/>
  <cols>
    <col min="1" max="1" width="21.546875" style="2" customWidth="1"/>
    <col min="2" max="2" width="18.6484375" style="2" customWidth="1"/>
    <col min="3" max="3" width="15.6484375" style="3" customWidth="1"/>
    <col min="4" max="4" width="9.546875" style="3" customWidth="1"/>
    <col min="5" max="5" width="11.34765625" style="4" customWidth="1"/>
    <col min="6" max="6" width="11.546875" style="5" customWidth="1"/>
    <col min="7" max="7" width="11.546875" style="4" customWidth="1"/>
    <col min="8" max="8" width="10.44921875" style="152" customWidth="1"/>
    <col min="9" max="9" width="14.546875" style="152" customWidth="1"/>
    <col min="10" max="10" width="14.09765625" style="4" customWidth="1"/>
    <col min="11" max="15" width="6.546875" style="7" customWidth="1"/>
    <col min="16" max="21" width="6.546875" style="3" customWidth="1"/>
    <col min="22" max="23" width="8.6484375" style="2"/>
    <col min="24" max="24" width="15.6484375" style="2" customWidth="1"/>
    <col min="25" max="16384" width="8.6484375" style="2"/>
  </cols>
  <sheetData>
    <row r="1" spans="1:24" ht="30" customHeight="1">
      <c r="A1" s="1" t="s">
        <v>0</v>
      </c>
      <c r="H1" s="6"/>
      <c r="I1" s="6"/>
      <c r="J1" s="6"/>
    </row>
    <row r="2" spans="1:24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9"/>
      <c r="Q2" s="9"/>
      <c r="R2" s="9"/>
      <c r="S2" s="9"/>
      <c r="T2" s="9"/>
      <c r="U2" s="9"/>
    </row>
    <row r="3" spans="1:24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9"/>
      <c r="Q3" s="9"/>
      <c r="R3" s="9"/>
      <c r="S3" s="9"/>
      <c r="T3" s="9"/>
      <c r="U3" s="9"/>
    </row>
    <row r="4" spans="1:24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9"/>
      <c r="Q4" s="9"/>
      <c r="R4" s="9"/>
      <c r="S4" s="9"/>
      <c r="T4" s="9"/>
      <c r="U4" s="9"/>
    </row>
    <row r="5" spans="1:24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7"/>
    </row>
    <row r="6" spans="1:24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18</v>
      </c>
      <c r="L6" s="37">
        <f>K6+1</f>
        <v>19</v>
      </c>
      <c r="M6" s="37">
        <f t="shared" ref="M6:U6" si="0">L6+1</f>
        <v>20</v>
      </c>
      <c r="N6" s="37">
        <f t="shared" si="0"/>
        <v>21</v>
      </c>
      <c r="O6" s="37">
        <f t="shared" si="0"/>
        <v>22</v>
      </c>
      <c r="P6" s="37">
        <f t="shared" si="0"/>
        <v>23</v>
      </c>
      <c r="Q6" s="37">
        <f t="shared" si="0"/>
        <v>24</v>
      </c>
      <c r="R6" s="37">
        <f t="shared" si="0"/>
        <v>25</v>
      </c>
      <c r="S6" s="37">
        <f t="shared" si="0"/>
        <v>26</v>
      </c>
      <c r="T6" s="37">
        <f t="shared" si="0"/>
        <v>27</v>
      </c>
      <c r="U6" s="38">
        <f t="shared" si="0"/>
        <v>28</v>
      </c>
    </row>
    <row r="7" spans="1:24" s="28" customFormat="1" ht="29.25" customHeight="1" thickBot="1">
      <c r="A7" s="29"/>
      <c r="B7" s="30"/>
      <c r="C7" s="31"/>
      <c r="D7" s="32"/>
      <c r="E7" s="33"/>
      <c r="F7" s="33"/>
      <c r="G7" s="33"/>
      <c r="H7" s="32"/>
      <c r="I7" s="34"/>
      <c r="J7" s="35"/>
      <c r="K7" s="39" t="s">
        <v>20</v>
      </c>
      <c r="L7" s="40" t="s">
        <v>21</v>
      </c>
      <c r="M7" s="40" t="s">
        <v>21</v>
      </c>
      <c r="N7" s="39" t="s">
        <v>22</v>
      </c>
      <c r="O7" s="39" t="s">
        <v>23</v>
      </c>
      <c r="P7" s="39" t="s">
        <v>24</v>
      </c>
      <c r="Q7" s="39" t="s">
        <v>23</v>
      </c>
      <c r="R7" s="40" t="s">
        <v>21</v>
      </c>
      <c r="S7" s="40" t="s">
        <v>21</v>
      </c>
      <c r="T7" s="39" t="s">
        <v>22</v>
      </c>
      <c r="U7" s="41" t="s">
        <v>23</v>
      </c>
    </row>
    <row r="8" spans="1:24" s="28" customFormat="1" ht="57.95" customHeight="1">
      <c r="A8" s="42" t="s">
        <v>25</v>
      </c>
      <c r="B8" s="43" t="s">
        <v>26</v>
      </c>
      <c r="C8" s="44" t="s">
        <v>27</v>
      </c>
      <c r="D8" s="45" t="s">
        <v>54</v>
      </c>
      <c r="E8" s="46">
        <v>4000</v>
      </c>
      <c r="F8" s="46">
        <f t="shared" ref="F8:F9" si="1">E8*0.8</f>
        <v>3200</v>
      </c>
      <c r="G8" s="46">
        <f t="shared" ref="G8:G9" si="2">E8*0.75</f>
        <v>3000</v>
      </c>
      <c r="H8" s="47">
        <f>SUM(K8:U8)</f>
        <v>420</v>
      </c>
      <c r="I8" s="46">
        <f>G8*H8</f>
        <v>1260000</v>
      </c>
      <c r="J8" s="48">
        <f>250000/8400*(H8*20)</f>
        <v>250000</v>
      </c>
      <c r="K8" s="49">
        <v>39</v>
      </c>
      <c r="L8" s="50">
        <f>K8</f>
        <v>39</v>
      </c>
      <c r="M8" s="50">
        <v>38</v>
      </c>
      <c r="N8" s="50">
        <f>M8</f>
        <v>38</v>
      </c>
      <c r="O8" s="50">
        <f>N8</f>
        <v>38</v>
      </c>
      <c r="P8" s="50">
        <f>O8</f>
        <v>38</v>
      </c>
      <c r="Q8" s="50">
        <f>P8</f>
        <v>38</v>
      </c>
      <c r="R8" s="50">
        <f>Q8</f>
        <v>38</v>
      </c>
      <c r="S8" s="50">
        <f>R8</f>
        <v>38</v>
      </c>
      <c r="T8" s="50">
        <f>S8</f>
        <v>38</v>
      </c>
      <c r="U8" s="51">
        <f>T8</f>
        <v>38</v>
      </c>
    </row>
    <row r="9" spans="1:24" s="28" customFormat="1" ht="58.35" customHeight="1" thickBot="1">
      <c r="A9" s="52"/>
      <c r="B9" s="53" t="s">
        <v>29</v>
      </c>
      <c r="C9" s="54" t="s">
        <v>30</v>
      </c>
      <c r="D9" s="55" t="s">
        <v>54</v>
      </c>
      <c r="E9" s="56">
        <v>4000</v>
      </c>
      <c r="F9" s="56">
        <f t="shared" si="1"/>
        <v>3200</v>
      </c>
      <c r="G9" s="56">
        <f t="shared" si="2"/>
        <v>3000</v>
      </c>
      <c r="H9" s="57">
        <f>SUM(K9:U9)</f>
        <v>720</v>
      </c>
      <c r="I9" s="56">
        <f>G9*H9</f>
        <v>2160000</v>
      </c>
      <c r="J9" s="58" t="s">
        <v>31</v>
      </c>
      <c r="K9" s="59">
        <v>66</v>
      </c>
      <c r="L9" s="60">
        <f>K9</f>
        <v>66</v>
      </c>
      <c r="M9" s="60">
        <f>L9</f>
        <v>66</v>
      </c>
      <c r="N9" s="60">
        <f>M9</f>
        <v>66</v>
      </c>
      <c r="O9" s="60">
        <f>N9</f>
        <v>66</v>
      </c>
      <c r="P9" s="60">
        <v>65</v>
      </c>
      <c r="Q9" s="60">
        <f>P9</f>
        <v>65</v>
      </c>
      <c r="R9" s="60">
        <f>Q9</f>
        <v>65</v>
      </c>
      <c r="S9" s="60">
        <f>R9</f>
        <v>65</v>
      </c>
      <c r="T9" s="60">
        <f>S9</f>
        <v>65</v>
      </c>
      <c r="U9" s="61">
        <f>T9</f>
        <v>65</v>
      </c>
    </row>
    <row r="10" spans="1:24" s="28" customFormat="1" ht="22.35" customHeight="1">
      <c r="A10" s="62"/>
      <c r="B10" s="63"/>
      <c r="C10" s="64"/>
      <c r="D10" s="65"/>
      <c r="E10" s="66"/>
      <c r="F10" s="66"/>
      <c r="G10" s="66"/>
      <c r="H10" s="67"/>
      <c r="I10" s="66"/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0"/>
      <c r="W10" s="71"/>
      <c r="X10" s="72"/>
    </row>
    <row r="11" spans="1:24" s="28" customFormat="1" ht="22.7" customHeight="1">
      <c r="A11" s="73"/>
      <c r="B11" s="74"/>
      <c r="C11" s="75"/>
      <c r="D11" s="76"/>
      <c r="E11" s="77"/>
      <c r="F11" s="77"/>
      <c r="G11" s="77"/>
      <c r="H11" s="78"/>
      <c r="I11" s="79" t="s">
        <v>32</v>
      </c>
      <c r="J11" s="80">
        <f>SUM(J8:J9)</f>
        <v>250000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2"/>
      <c r="W11" s="71"/>
    </row>
    <row r="12" spans="1:24" s="93" customFormat="1" ht="22.7" customHeight="1">
      <c r="A12" s="83"/>
      <c r="B12" s="84"/>
      <c r="C12" s="85"/>
      <c r="D12" s="85"/>
      <c r="E12" s="86"/>
      <c r="F12" s="87"/>
      <c r="G12" s="86"/>
      <c r="H12" s="86"/>
      <c r="I12" s="88" t="s">
        <v>33</v>
      </c>
      <c r="J12" s="89" t="s">
        <v>34</v>
      </c>
      <c r="K12" s="90"/>
      <c r="L12" s="90"/>
      <c r="M12" s="90"/>
      <c r="N12" s="90"/>
      <c r="O12" s="91"/>
      <c r="P12" s="91"/>
      <c r="Q12" s="91"/>
      <c r="R12" s="91"/>
      <c r="S12" s="91"/>
      <c r="T12" s="91"/>
      <c r="U12" s="92"/>
    </row>
    <row r="13" spans="1:24" s="93" customFormat="1" ht="22.7" customHeight="1" thickBot="1">
      <c r="A13" s="83"/>
      <c r="B13" s="84"/>
      <c r="C13" s="85"/>
      <c r="D13" s="85"/>
      <c r="E13" s="86"/>
      <c r="F13" s="87"/>
      <c r="G13" s="86"/>
      <c r="H13" s="86"/>
      <c r="I13" s="94" t="s">
        <v>35</v>
      </c>
      <c r="J13" s="95">
        <f>SUM(J11:J12)*5%</f>
        <v>12500</v>
      </c>
      <c r="K13" s="90"/>
      <c r="L13" s="90"/>
      <c r="M13" s="90"/>
      <c r="N13" s="90"/>
      <c r="O13" s="90"/>
      <c r="P13" s="96"/>
      <c r="Q13" s="96"/>
      <c r="R13" s="96"/>
      <c r="S13" s="96"/>
      <c r="T13" s="96"/>
      <c r="U13" s="97"/>
    </row>
    <row r="14" spans="1:24" s="109" customFormat="1" ht="22.7" customHeight="1" thickBot="1">
      <c r="A14" s="98" t="s">
        <v>36</v>
      </c>
      <c r="B14" s="99">
        <f>SUM(I8:I9)</f>
        <v>3420000</v>
      </c>
      <c r="C14" s="100"/>
      <c r="D14" s="101"/>
      <c r="E14" s="102"/>
      <c r="F14" s="103"/>
      <c r="G14" s="102"/>
      <c r="H14" s="104"/>
      <c r="I14" s="105" t="s">
        <v>37</v>
      </c>
      <c r="J14" s="106">
        <f>SUM(J11:J13)</f>
        <v>262500</v>
      </c>
      <c r="K14" s="107"/>
      <c r="L14" s="107"/>
      <c r="M14" s="107"/>
      <c r="N14" s="107"/>
      <c r="O14" s="107"/>
      <c r="P14" s="101"/>
      <c r="Q14" s="101"/>
      <c r="R14" s="101"/>
      <c r="S14" s="101"/>
      <c r="T14" s="101"/>
      <c r="U14" s="108"/>
    </row>
    <row r="15" spans="1:24" s="109" customFormat="1" ht="22.7" customHeight="1" thickTop="1" thickBot="1">
      <c r="A15" s="110" t="s">
        <v>38</v>
      </c>
      <c r="B15" s="111">
        <f>B14-J8</f>
        <v>3170000</v>
      </c>
      <c r="C15" s="112"/>
      <c r="D15" s="101"/>
      <c r="E15" s="102"/>
      <c r="F15" s="103"/>
      <c r="G15" s="102"/>
      <c r="H15" s="104"/>
      <c r="K15" s="107"/>
      <c r="L15" s="107"/>
      <c r="M15" s="107"/>
      <c r="N15" s="107"/>
      <c r="O15" s="107"/>
      <c r="P15" s="101"/>
      <c r="Q15" s="101"/>
      <c r="R15" s="101"/>
      <c r="S15" s="101"/>
      <c r="T15" s="101"/>
      <c r="U15" s="108"/>
    </row>
    <row r="16" spans="1:24" s="109" customFormat="1" ht="24.45" customHeight="1">
      <c r="A16" s="113" t="s">
        <v>3</v>
      </c>
      <c r="C16" s="101"/>
      <c r="D16" s="101"/>
      <c r="E16" s="102"/>
      <c r="F16" s="103"/>
      <c r="G16" s="102"/>
      <c r="H16" s="104"/>
      <c r="K16" s="107"/>
      <c r="L16" s="107"/>
      <c r="M16" s="107"/>
      <c r="N16" s="107"/>
      <c r="O16" s="107"/>
      <c r="P16" s="101"/>
      <c r="Q16" s="101"/>
      <c r="R16" s="101"/>
      <c r="S16" s="101"/>
      <c r="T16" s="101"/>
      <c r="U16" s="108"/>
    </row>
    <row r="17" spans="1:21" s="109" customFormat="1" ht="24.45" customHeight="1">
      <c r="A17" s="113"/>
      <c r="C17" s="101"/>
      <c r="D17" s="101"/>
      <c r="E17" s="102"/>
      <c r="F17" s="103"/>
      <c r="G17" s="102"/>
      <c r="H17" s="104"/>
      <c r="K17" s="107"/>
      <c r="L17" s="107"/>
      <c r="M17" s="107"/>
      <c r="N17" s="107"/>
      <c r="O17" s="107"/>
      <c r="P17" s="101"/>
      <c r="Q17" s="101"/>
      <c r="R17" s="101"/>
      <c r="S17" s="101"/>
      <c r="T17" s="101"/>
      <c r="U17" s="108"/>
    </row>
    <row r="18" spans="1:21" s="109" customFormat="1" ht="24.45" customHeight="1" thickBot="1">
      <c r="A18" s="113"/>
      <c r="C18" s="101"/>
      <c r="D18" s="101"/>
      <c r="E18" s="102"/>
      <c r="F18" s="103"/>
      <c r="I18" s="79"/>
      <c r="J18" s="114"/>
      <c r="K18" s="107"/>
      <c r="L18" s="107"/>
      <c r="M18" s="107"/>
      <c r="N18" s="107"/>
      <c r="O18" s="107"/>
      <c r="P18" s="101"/>
      <c r="Q18" s="101"/>
      <c r="R18" s="101"/>
      <c r="S18" s="101"/>
      <c r="T18" s="101"/>
      <c r="U18" s="108"/>
    </row>
    <row r="19" spans="1:21" s="109" customFormat="1" ht="23.85" customHeight="1">
      <c r="A19" s="115"/>
      <c r="B19" s="116"/>
      <c r="C19" s="117"/>
      <c r="D19" s="117"/>
      <c r="E19" s="118"/>
      <c r="F19" s="119"/>
      <c r="G19" s="116"/>
      <c r="H19" s="116"/>
      <c r="I19" s="116"/>
      <c r="J19" s="116"/>
      <c r="K19" s="120"/>
      <c r="L19" s="120"/>
      <c r="M19" s="120"/>
      <c r="N19" s="120"/>
      <c r="O19" s="120"/>
      <c r="P19" s="117"/>
      <c r="Q19" s="117"/>
      <c r="R19" s="117"/>
      <c r="S19" s="117"/>
      <c r="T19" s="117"/>
      <c r="U19" s="121"/>
    </row>
    <row r="20" spans="1:21" s="109" customFormat="1" ht="23.85" customHeight="1">
      <c r="A20" s="113"/>
      <c r="C20" s="101"/>
      <c r="D20" s="101"/>
      <c r="E20" s="102"/>
      <c r="F20" s="103"/>
      <c r="K20" s="107"/>
      <c r="L20" s="107"/>
      <c r="M20" s="107"/>
      <c r="N20" s="107"/>
      <c r="O20" s="107"/>
      <c r="P20" s="101"/>
      <c r="Q20" s="101"/>
      <c r="R20" s="101"/>
      <c r="S20" s="101"/>
      <c r="T20" s="101"/>
      <c r="U20" s="108"/>
    </row>
    <row r="21" spans="1:21" s="124" customFormat="1" ht="23.85" customHeight="1">
      <c r="A21" s="122" t="s">
        <v>39</v>
      </c>
      <c r="B21" s="123" t="s">
        <v>3</v>
      </c>
      <c r="D21" s="84" t="s">
        <v>40</v>
      </c>
      <c r="I21" s="124" t="s">
        <v>41</v>
      </c>
      <c r="O21" s="125" t="s">
        <v>42</v>
      </c>
      <c r="U21" s="126"/>
    </row>
    <row r="22" spans="1:21" s="124" customFormat="1" ht="23.85" customHeight="1">
      <c r="A22" s="122"/>
      <c r="B22" s="123"/>
      <c r="P22" s="125"/>
      <c r="U22" s="126"/>
    </row>
    <row r="23" spans="1:21" s="135" customFormat="1" ht="23.85" customHeight="1" thickBot="1">
      <c r="A23" s="127"/>
      <c r="B23" s="128"/>
      <c r="C23" s="129"/>
      <c r="D23" s="129"/>
      <c r="E23" s="130"/>
      <c r="F23" s="131"/>
      <c r="G23" s="130"/>
      <c r="H23" s="132"/>
      <c r="I23" s="132"/>
      <c r="J23" s="130"/>
      <c r="K23" s="133"/>
      <c r="L23" s="133"/>
      <c r="M23" s="133"/>
      <c r="N23" s="133"/>
      <c r="O23" s="133"/>
      <c r="P23" s="129"/>
      <c r="Q23" s="129"/>
      <c r="R23" s="129"/>
      <c r="S23" s="129"/>
      <c r="T23" s="129"/>
      <c r="U23" s="134"/>
    </row>
    <row r="24" spans="1:21" s="141" customFormat="1" ht="29.25" customHeight="1">
      <c r="A24" s="136" t="s">
        <v>43</v>
      </c>
      <c r="B24" s="137" t="s">
        <v>44</v>
      </c>
      <c r="C24" s="138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40"/>
    </row>
    <row r="25" spans="1:21" s="141" customFormat="1" ht="29.25" customHeight="1">
      <c r="A25" s="142"/>
      <c r="B25" s="143" t="s">
        <v>45</v>
      </c>
      <c r="C25" s="144"/>
      <c r="U25" s="145"/>
    </row>
    <row r="26" spans="1:21" s="141" customFormat="1" ht="29.25" customHeight="1">
      <c r="A26" s="142"/>
      <c r="B26" s="143" t="s">
        <v>46</v>
      </c>
      <c r="C26" s="144"/>
      <c r="U26" s="145"/>
    </row>
    <row r="27" spans="1:21" s="141" customFormat="1" ht="29.25" customHeight="1">
      <c r="A27" s="142"/>
      <c r="B27" s="143" t="s">
        <v>47</v>
      </c>
      <c r="C27" s="144"/>
      <c r="U27" s="145"/>
    </row>
    <row r="28" spans="1:21" s="141" customFormat="1" ht="29.25" customHeight="1">
      <c r="A28" s="142"/>
      <c r="B28" s="146" t="s">
        <v>48</v>
      </c>
      <c r="C28" s="144"/>
      <c r="U28" s="145"/>
    </row>
    <row r="29" spans="1:21" s="141" customFormat="1" ht="29.25" customHeight="1">
      <c r="A29" s="142"/>
      <c r="B29" s="143" t="s">
        <v>49</v>
      </c>
      <c r="C29" s="144"/>
      <c r="U29" s="145"/>
    </row>
    <row r="30" spans="1:21" s="141" customFormat="1" ht="29.25" customHeight="1">
      <c r="A30" s="142"/>
      <c r="B30" s="143" t="s">
        <v>50</v>
      </c>
      <c r="C30" s="144"/>
      <c r="U30" s="145"/>
    </row>
    <row r="31" spans="1:21" s="141" customFormat="1" ht="29.25" customHeight="1">
      <c r="A31" s="142"/>
      <c r="B31" s="143" t="s">
        <v>51</v>
      </c>
      <c r="C31" s="144"/>
      <c r="U31" s="145"/>
    </row>
    <row r="32" spans="1:21" s="141" customFormat="1" ht="29.25" customHeight="1" thickBot="1">
      <c r="A32" s="147"/>
      <c r="B32" s="148" t="s">
        <v>52</v>
      </c>
      <c r="C32" s="149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1"/>
    </row>
  </sheetData>
  <mergeCells count="17">
    <mergeCell ref="K10:U10"/>
    <mergeCell ref="K11:U11"/>
    <mergeCell ref="B14:C14"/>
    <mergeCell ref="B15:C15"/>
    <mergeCell ref="A24:A32"/>
    <mergeCell ref="G5:G7"/>
    <mergeCell ref="H5:H7"/>
    <mergeCell ref="I5:I7"/>
    <mergeCell ref="J5:J7"/>
    <mergeCell ref="A8:A9"/>
    <mergeCell ref="A10:A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19685039370078741" bottom="3.937007874015748E-2" header="0.15748031496062992" footer="0.19685039370078741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萬家福 &amp; 樂家康 10秒</vt:lpstr>
      <vt:lpstr>萬家福 &amp; 樂家康 15秒</vt:lpstr>
      <vt:lpstr>萬家福 &amp; 樂家康 20秒</vt:lpstr>
      <vt:lpstr>'萬家福 &amp; 樂家康 10秒'!Print_Area</vt:lpstr>
      <vt:lpstr>'萬家福 &amp; 樂家康 15秒'!Print_Area</vt:lpstr>
      <vt:lpstr>'萬家福 &amp; 樂家康 20秒'!Print_Area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dcterms:created xsi:type="dcterms:W3CDTF">2026-09-02T07:02:45Z</dcterms:created>
  <dcterms:modified xsi:type="dcterms:W3CDTF">2026-09-02T07:59:39Z</dcterms:modified>
</cp:coreProperties>
</file>