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8_{A0A6B336-D8CD-4EF5-8497-189F08B14A74}" xr6:coauthVersionLast="47" xr6:coauthVersionMax="47" xr10:uidLastSave="{00000000-0000-0000-0000-000000000000}"/>
  <bookViews>
    <workbookView xWindow="-93" yWindow="-93" windowWidth="25786" windowHeight="13866" activeTab="2" xr2:uid="{E5E0A6CF-CB41-4D0A-92F8-448A9D61F7A5}"/>
  </bookViews>
  <sheets>
    <sheet name="萬家福&amp;樂家康 10秒" sheetId="3" r:id="rId1"/>
    <sheet name="萬家福&amp;樂家康 15秒" sheetId="1" r:id="rId2"/>
    <sheet name="萬家福&amp;樂家康 20秒" sheetId="2" r:id="rId3"/>
  </sheets>
  <externalReferences>
    <externalReference r:id="rId4"/>
  </externalReferences>
  <definedNames>
    <definedName name="_10_Fill_5" localSheetId="0">#REF!</definedName>
    <definedName name="_10_Fill_5" localSheetId="1">#REF!</definedName>
    <definedName name="_10_Fill_5" localSheetId="2">#REF!</definedName>
    <definedName name="_10_Fill_5">#REF!</definedName>
    <definedName name="_12_Fill_6" localSheetId="0">#REF!</definedName>
    <definedName name="_12_Fill_6" localSheetId="1">#REF!</definedName>
    <definedName name="_12_Fill_6" localSheetId="2">#REF!</definedName>
    <definedName name="_12_Fill_6">#REF!</definedName>
    <definedName name="_14Excel_BuiltIn_Criteria_1" localSheetId="0">#REF!</definedName>
    <definedName name="_14Excel_BuiltIn_Criteria_1" localSheetId="1">#REF!</definedName>
    <definedName name="_14Excel_BuiltIn_Criteria_1" localSheetId="2">#REF!</definedName>
    <definedName name="_14Excel_BuiltIn_Criteria_1">#REF!</definedName>
    <definedName name="_16Excel_BuiltIn_Criteria_10" localSheetId="0">#REF!</definedName>
    <definedName name="_16Excel_BuiltIn_Criteria_10" localSheetId="1">#REF!</definedName>
    <definedName name="_16Excel_BuiltIn_Criteria_10" localSheetId="2">#REF!</definedName>
    <definedName name="_16Excel_BuiltIn_Criteria_10">#REF!</definedName>
    <definedName name="_18Excel_BuiltIn_Criteria_11" localSheetId="0">#REF!</definedName>
    <definedName name="_18Excel_BuiltIn_Criteria_11" localSheetId="1">#REF!</definedName>
    <definedName name="_18Excel_BuiltIn_Criteria_11" localSheetId="2">#REF!</definedName>
    <definedName name="_18Excel_BuiltIn_Criteria_11">#REF!</definedName>
    <definedName name="_2_Fill_1" localSheetId="0">#REF!</definedName>
    <definedName name="_2_Fill_1" localSheetId="1">#REF!</definedName>
    <definedName name="_2_Fill_1" localSheetId="2">#REF!</definedName>
    <definedName name="_2_Fill_1">#REF!</definedName>
    <definedName name="_20Excel_BuiltIn_Criteria_12" localSheetId="0">#REF!</definedName>
    <definedName name="_20Excel_BuiltIn_Criteria_12" localSheetId="1">#REF!</definedName>
    <definedName name="_20Excel_BuiltIn_Criteria_12" localSheetId="2">#REF!</definedName>
    <definedName name="_20Excel_BuiltIn_Criteria_12">#REF!</definedName>
    <definedName name="_22Excel_BuiltIn_Criteria_13" localSheetId="0">#REF!</definedName>
    <definedName name="_22Excel_BuiltIn_Criteria_13" localSheetId="1">#REF!</definedName>
    <definedName name="_22Excel_BuiltIn_Criteria_13" localSheetId="2">#REF!</definedName>
    <definedName name="_22Excel_BuiltIn_Criteria_13">#REF!</definedName>
    <definedName name="_24Excel_BuiltIn_Criteria_2" localSheetId="0">#REF!</definedName>
    <definedName name="_24Excel_BuiltIn_Criteria_2" localSheetId="1">#REF!</definedName>
    <definedName name="_24Excel_BuiltIn_Criteria_2" localSheetId="2">#REF!</definedName>
    <definedName name="_24Excel_BuiltIn_Criteria_2">#REF!</definedName>
    <definedName name="_26Excel_BuiltIn_Criteria_3" localSheetId="0">#REF!</definedName>
    <definedName name="_26Excel_BuiltIn_Criteria_3" localSheetId="1">#REF!</definedName>
    <definedName name="_26Excel_BuiltIn_Criteria_3" localSheetId="2">#REF!</definedName>
    <definedName name="_26Excel_BuiltIn_Criteria_3">#REF!</definedName>
    <definedName name="_28Excel_BuiltIn_Criteria_4" localSheetId="0">#REF!</definedName>
    <definedName name="_28Excel_BuiltIn_Criteria_4" localSheetId="1">#REF!</definedName>
    <definedName name="_28Excel_BuiltIn_Criteria_4" localSheetId="2">#REF!</definedName>
    <definedName name="_28Excel_BuiltIn_Criteria_4">#REF!</definedName>
    <definedName name="_30Excel_BuiltIn_Criteria_5" localSheetId="0">#REF!</definedName>
    <definedName name="_30Excel_BuiltIn_Criteria_5" localSheetId="1">#REF!</definedName>
    <definedName name="_30Excel_BuiltIn_Criteria_5" localSheetId="2">#REF!</definedName>
    <definedName name="_30Excel_BuiltIn_Criteria_5">#REF!</definedName>
    <definedName name="_32Excel_BuiltIn_Criteria_6" localSheetId="0">#REF!</definedName>
    <definedName name="_32Excel_BuiltIn_Criteria_6" localSheetId="1">#REF!</definedName>
    <definedName name="_32Excel_BuiltIn_Criteria_6" localSheetId="2">#REF!</definedName>
    <definedName name="_32Excel_BuiltIn_Criteria_6">#REF!</definedName>
    <definedName name="_34Excel_BuiltIn_Criteria_7" localSheetId="0">#REF!</definedName>
    <definedName name="_34Excel_BuiltIn_Criteria_7" localSheetId="1">#REF!</definedName>
    <definedName name="_34Excel_BuiltIn_Criteria_7" localSheetId="2">#REF!</definedName>
    <definedName name="_34Excel_BuiltIn_Criteria_7">#REF!</definedName>
    <definedName name="_36Excel_BuiltIn_Criteria_8" localSheetId="0">#REF!</definedName>
    <definedName name="_36Excel_BuiltIn_Criteria_8" localSheetId="1">#REF!</definedName>
    <definedName name="_36Excel_BuiltIn_Criteria_8" localSheetId="2">#REF!</definedName>
    <definedName name="_36Excel_BuiltIn_Criteria_8">#REF!</definedName>
    <definedName name="_38Excel_BuiltIn_Criteria_9" localSheetId="0">#REF!</definedName>
    <definedName name="_38Excel_BuiltIn_Criteria_9" localSheetId="1">#REF!</definedName>
    <definedName name="_38Excel_BuiltIn_Criteria_9" localSheetId="2">#REF!</definedName>
    <definedName name="_38Excel_BuiltIn_Criteria_9">#REF!</definedName>
    <definedName name="_4_Fill_2" localSheetId="0">#REF!</definedName>
    <definedName name="_4_Fill_2" localSheetId="1">#REF!</definedName>
    <definedName name="_4_Fill_2" localSheetId="2">#REF!</definedName>
    <definedName name="_4_Fill_2">#REF!</definedName>
    <definedName name="_6_Fill_3" localSheetId="0">#REF!</definedName>
    <definedName name="_6_Fill_3" localSheetId="1">#REF!</definedName>
    <definedName name="_6_Fill_3" localSheetId="2">#REF!</definedName>
    <definedName name="_6_Fill_3">#REF!</definedName>
    <definedName name="_8_Fill_4" localSheetId="0">#REF!</definedName>
    <definedName name="_8_Fill_4" localSheetId="1">#REF!</definedName>
    <definedName name="_8_Fill_4" localSheetId="2">#REF!</definedName>
    <definedName name="_8_Fill_4">#REF!</definedName>
    <definedName name="_Fill" localSheetId="0">#REF!</definedName>
    <definedName name="_Fill" localSheetId="1">#REF!</definedName>
    <definedName name="_Fill" localSheetId="2">#REF!</definedName>
    <definedName name="_Fill">#REF!</definedName>
    <definedName name="_xlnm.Criteria" localSheetId="0">#REF!</definedName>
    <definedName name="_xlnm.Criteria" localSheetId="1">#REF!</definedName>
    <definedName name="_xlnm.Criteria" localSheetId="2">#REF!</definedName>
    <definedName name="_xlnm.Criteria">#REF!</definedName>
    <definedName name="Excel_BuiltIn_Criteria" localSheetId="0">#REF!</definedName>
    <definedName name="Excel_BuiltIn_Criteria" localSheetId="1">#REF!</definedName>
    <definedName name="Excel_BuiltIn_Criteria" localSheetId="2">#REF!</definedName>
    <definedName name="Excel_BuiltIn_Criteria">#REF!</definedName>
    <definedName name="_xlnm.Print_Area" localSheetId="0">'萬家福&amp;樂家康 10秒'!$A$1:$AL$24</definedName>
    <definedName name="_xlnm.Print_Area" localSheetId="1">'萬家福&amp;樂家康 15秒'!$A$1:$AL$24</definedName>
    <definedName name="_xlnm.Print_Area" localSheetId="2">'萬家福&amp;樂家康 20秒'!$A$1:$AL$24</definedName>
    <definedName name="s" localSheetId="0">#REF!</definedName>
    <definedName name="s" localSheetId="1">#REF!</definedName>
    <definedName name="s" localSheetId="2">#REF!</definedName>
    <definedName name="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11" i="3" l="1"/>
  <c r="G11" i="2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F14" i="3"/>
  <c r="F13" i="3"/>
  <c r="D13" i="3" s="1"/>
  <c r="AF12" i="3"/>
  <c r="AG12" i="3" s="1"/>
  <c r="AH12" i="3" s="1"/>
  <c r="AI12" i="3" s="1"/>
  <c r="AJ12" i="3" s="1"/>
  <c r="AK12" i="3" s="1"/>
  <c r="AL12" i="3" s="1"/>
  <c r="Z12" i="3"/>
  <c r="AA12" i="3" s="1"/>
  <c r="Z11" i="3"/>
  <c r="Z15" i="3" s="1"/>
  <c r="U10" i="3"/>
  <c r="W9" i="3"/>
  <c r="W10" i="3" s="1"/>
  <c r="V9" i="3"/>
  <c r="V10" i="3" s="1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F14" i="2"/>
  <c r="F13" i="2"/>
  <c r="D13" i="2" s="1"/>
  <c r="Z12" i="2"/>
  <c r="AA12" i="2" s="1"/>
  <c r="U10" i="2"/>
  <c r="W9" i="2"/>
  <c r="W10" i="2" s="1"/>
  <c r="V9" i="2"/>
  <c r="V10" i="2" s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F14" i="1"/>
  <c r="F13" i="1"/>
  <c r="D13" i="1"/>
  <c r="AH12" i="1"/>
  <c r="AI12" i="1" s="1"/>
  <c r="AJ12" i="1" s="1"/>
  <c r="AK12" i="1" s="1"/>
  <c r="AL12" i="1" s="1"/>
  <c r="AD12" i="1"/>
  <c r="AE12" i="1" s="1"/>
  <c r="AF12" i="1" s="1"/>
  <c r="Z12" i="1"/>
  <c r="AA12" i="1" s="1"/>
  <c r="Y11" i="1"/>
  <c r="Z11" i="1" s="1"/>
  <c r="U10" i="1"/>
  <c r="V9" i="1"/>
  <c r="V10" i="1" s="1"/>
  <c r="AB12" i="3" l="1"/>
  <c r="AC12" i="3" s="1"/>
  <c r="AD12" i="3" s="1"/>
  <c r="X9" i="3"/>
  <c r="AA11" i="3"/>
  <c r="Z11" i="2"/>
  <c r="AB12" i="2"/>
  <c r="X9" i="2"/>
  <c r="Y15" i="2"/>
  <c r="Z15" i="1"/>
  <c r="AA11" i="1"/>
  <c r="AB12" i="1"/>
  <c r="F12" i="1"/>
  <c r="W9" i="1"/>
  <c r="Y15" i="1"/>
  <c r="X10" i="3" l="1"/>
  <c r="Y9" i="3"/>
  <c r="AB11" i="3"/>
  <c r="AA15" i="3"/>
  <c r="F12" i="3"/>
  <c r="AC12" i="2"/>
  <c r="AD12" i="2" s="1"/>
  <c r="AF12" i="2" s="1"/>
  <c r="AG12" i="2" s="1"/>
  <c r="AH12" i="2" s="1"/>
  <c r="AI12" i="2" s="1"/>
  <c r="AJ12" i="2" s="1"/>
  <c r="AK12" i="2" s="1"/>
  <c r="AL12" i="2" s="1"/>
  <c r="X10" i="2"/>
  <c r="Y9" i="2"/>
  <c r="AA11" i="2"/>
  <c r="Z15" i="2"/>
  <c r="W10" i="1"/>
  <c r="X9" i="1"/>
  <c r="AA15" i="1"/>
  <c r="AB11" i="1"/>
  <c r="AB15" i="3" l="1"/>
  <c r="AC11" i="3"/>
  <c r="Z9" i="3"/>
  <c r="Y10" i="3"/>
  <c r="F12" i="2"/>
  <c r="Y10" i="2"/>
  <c r="Z9" i="2"/>
  <c r="AB11" i="2"/>
  <c r="AA15" i="2"/>
  <c r="AC11" i="1"/>
  <c r="AB15" i="1"/>
  <c r="Y9" i="1"/>
  <c r="X10" i="1"/>
  <c r="AA9" i="3" l="1"/>
  <c r="Z10" i="3"/>
  <c r="AC15" i="3"/>
  <c r="AD11" i="3"/>
  <c r="AC11" i="2"/>
  <c r="AB15" i="2"/>
  <c r="AA9" i="2"/>
  <c r="Z10" i="2"/>
  <c r="Y10" i="1"/>
  <c r="Z9" i="1"/>
  <c r="AC15" i="1"/>
  <c r="AD11" i="1"/>
  <c r="AD15" i="3" l="1"/>
  <c r="AE11" i="3"/>
  <c r="AA10" i="3"/>
  <c r="AB9" i="3"/>
  <c r="AA10" i="2"/>
  <c r="AB9" i="2"/>
  <c r="AC15" i="2"/>
  <c r="AD11" i="2"/>
  <c r="AE11" i="1"/>
  <c r="AD15" i="1"/>
  <c r="AA9" i="1"/>
  <c r="Z10" i="1"/>
  <c r="AE15" i="3" l="1"/>
  <c r="AF11" i="3"/>
  <c r="AC9" i="3"/>
  <c r="AB10" i="3"/>
  <c r="AD15" i="2"/>
  <c r="AE11" i="2"/>
  <c r="AC9" i="2"/>
  <c r="AB10" i="2"/>
  <c r="AA10" i="1"/>
  <c r="AB9" i="1"/>
  <c r="AF11" i="1"/>
  <c r="AE15" i="1"/>
  <c r="AD9" i="3" l="1"/>
  <c r="AC10" i="3"/>
  <c r="AF15" i="3"/>
  <c r="AG11" i="3"/>
  <c r="AC10" i="2"/>
  <c r="AD9" i="2"/>
  <c r="AF11" i="2"/>
  <c r="AE15" i="2"/>
  <c r="AG11" i="1"/>
  <c r="AF15" i="1"/>
  <c r="AC9" i="1"/>
  <c r="AB10" i="1"/>
  <c r="AD10" i="3" l="1"/>
  <c r="AE9" i="3"/>
  <c r="AH11" i="3"/>
  <c r="AG15" i="3"/>
  <c r="AG11" i="2"/>
  <c r="AF15" i="2"/>
  <c r="AD10" i="2"/>
  <c r="AE9" i="2"/>
  <c r="AD9" i="1"/>
  <c r="AC10" i="1"/>
  <c r="AH11" i="1"/>
  <c r="AG15" i="1"/>
  <c r="AI11" i="3" l="1"/>
  <c r="AH15" i="3"/>
  <c r="AF9" i="3"/>
  <c r="AE10" i="3"/>
  <c r="AE10" i="2"/>
  <c r="AF9" i="2"/>
  <c r="AG15" i="2"/>
  <c r="AH11" i="2"/>
  <c r="AI11" i="1"/>
  <c r="AH15" i="1"/>
  <c r="AD10" i="1"/>
  <c r="AE9" i="1"/>
  <c r="AI15" i="3" l="1"/>
  <c r="AJ11" i="3"/>
  <c r="AF10" i="3"/>
  <c r="AG9" i="3"/>
  <c r="AF10" i="2"/>
  <c r="AG9" i="2"/>
  <c r="AI11" i="2"/>
  <c r="AH15" i="2"/>
  <c r="AJ11" i="1"/>
  <c r="AI15" i="1"/>
  <c r="AE10" i="1"/>
  <c r="AF9" i="1"/>
  <c r="AG10" i="3" l="1"/>
  <c r="AH9" i="3"/>
  <c r="AJ15" i="3"/>
  <c r="AK11" i="3"/>
  <c r="AH9" i="2"/>
  <c r="AG10" i="2"/>
  <c r="AJ11" i="2"/>
  <c r="AI15" i="2"/>
  <c r="AG9" i="1"/>
  <c r="AF10" i="1"/>
  <c r="AK11" i="1"/>
  <c r="AJ15" i="1"/>
  <c r="AK15" i="3" l="1"/>
  <c r="AL11" i="3"/>
  <c r="AH10" i="3"/>
  <c r="AI9" i="3"/>
  <c r="AK11" i="2"/>
  <c r="AJ15" i="2"/>
  <c r="AH10" i="2"/>
  <c r="AI9" i="2"/>
  <c r="AL11" i="1"/>
  <c r="AK15" i="1"/>
  <c r="AG10" i="1"/>
  <c r="AH9" i="1"/>
  <c r="AI10" i="3" l="1"/>
  <c r="AJ9" i="3"/>
  <c r="AL15" i="3"/>
  <c r="F11" i="3"/>
  <c r="D11" i="3" s="1"/>
  <c r="AJ9" i="2"/>
  <c r="AI10" i="2"/>
  <c r="AL11" i="2"/>
  <c r="AK15" i="2"/>
  <c r="AH10" i="1"/>
  <c r="AI9" i="1"/>
  <c r="AL15" i="1"/>
  <c r="F11" i="1"/>
  <c r="F15" i="3" l="1"/>
  <c r="D15" i="3"/>
  <c r="G15" i="3"/>
  <c r="G17" i="3" s="1"/>
  <c r="AJ10" i="3"/>
  <c r="AK9" i="3"/>
  <c r="AL15" i="2"/>
  <c r="F11" i="2"/>
  <c r="D11" i="2" s="1"/>
  <c r="AJ10" i="2"/>
  <c r="AK9" i="2"/>
  <c r="AI10" i="1"/>
  <c r="AJ9" i="1"/>
  <c r="G11" i="1"/>
  <c r="G15" i="1" s="1"/>
  <c r="G17" i="1" s="1"/>
  <c r="F15" i="1"/>
  <c r="D11" i="1"/>
  <c r="D15" i="1" s="1"/>
  <c r="AK10" i="3" l="1"/>
  <c r="AL9" i="3"/>
  <c r="AL10" i="3" s="1"/>
  <c r="G18" i="3"/>
  <c r="G19" i="3" s="1"/>
  <c r="AK10" i="2"/>
  <c r="AL9" i="2"/>
  <c r="AL10" i="2" s="1"/>
  <c r="G15" i="2"/>
  <c r="G17" i="2" s="1"/>
  <c r="F15" i="2"/>
  <c r="D15" i="2"/>
  <c r="G20" i="1"/>
  <c r="G19" i="1"/>
  <c r="G18" i="1"/>
  <c r="AJ10" i="1"/>
  <c r="AK9" i="1"/>
  <c r="G20" i="3" l="1"/>
  <c r="G18" i="2"/>
  <c r="G19" i="2" s="1"/>
  <c r="AL9" i="1"/>
  <c r="AL10" i="1" s="1"/>
  <c r="AK10" i="1"/>
  <c r="G20" i="2" l="1"/>
</calcChain>
</file>

<file path=xl/sharedStrings.xml><?xml version="1.0" encoding="utf-8"?>
<sst xmlns="http://schemas.openxmlformats.org/spreadsheetml/2006/main" count="186" uniqueCount="48">
  <si>
    <t>Client</t>
    <phoneticPr fontId="5" type="noConversion"/>
  </si>
  <si>
    <t>統一企業統一麵</t>
    <phoneticPr fontId="5" type="noConversion"/>
  </si>
  <si>
    <t>Media Agency</t>
    <phoneticPr fontId="5" type="noConversion"/>
  </si>
  <si>
    <t>2008傳媒行銷股份有限公司</t>
    <phoneticPr fontId="7" type="noConversion"/>
  </si>
  <si>
    <t>Advertising Agency</t>
    <phoneticPr fontId="5" type="noConversion"/>
  </si>
  <si>
    <t>Product</t>
    <phoneticPr fontId="5" type="noConversion"/>
  </si>
  <si>
    <t xml:space="preserve">統一企業 </t>
    <phoneticPr fontId="5" type="noConversion"/>
  </si>
  <si>
    <t>Campaign</t>
    <phoneticPr fontId="5" type="noConversion"/>
  </si>
  <si>
    <t>Period</t>
    <phoneticPr fontId="5" type="noConversion"/>
  </si>
  <si>
    <t>2026.07.17-2026.07.30</t>
    <phoneticPr fontId="7" type="noConversion"/>
  </si>
  <si>
    <t>媒體型態</t>
    <phoneticPr fontId="5" type="noConversion"/>
  </si>
  <si>
    <t>地區</t>
  </si>
  <si>
    <t>播出時段</t>
  </si>
  <si>
    <t>定價</t>
    <phoneticPr fontId="4" type="noConversion"/>
  </si>
  <si>
    <t>單位</t>
    <phoneticPr fontId="4" type="noConversion"/>
  </si>
  <si>
    <t>次數</t>
    <phoneticPr fontId="5" type="noConversion"/>
  </si>
  <si>
    <t>合計</t>
    <phoneticPr fontId="4" type="noConversion"/>
  </si>
  <si>
    <t>素材
提供時間</t>
  </si>
  <si>
    <t>Jul</t>
    <phoneticPr fontId="4" type="noConversion"/>
  </si>
  <si>
    <t>日</t>
    <phoneticPr fontId="4" type="noConversion"/>
  </si>
  <si>
    <t>四</t>
  </si>
  <si>
    <t>五</t>
  </si>
  <si>
    <t>六</t>
  </si>
  <si>
    <t>日</t>
  </si>
  <si>
    <t>一</t>
  </si>
  <si>
    <t>二</t>
  </si>
  <si>
    <t>三</t>
  </si>
  <si>
    <t>3/4（三）– 3/24（二）</t>
  </si>
  <si>
    <t>全省</t>
    <phoneticPr fontId="4" type="noConversion"/>
  </si>
  <si>
    <t>0900-2300</t>
    <phoneticPr fontId="4" type="noConversion"/>
  </si>
  <si>
    <t>15秒</t>
    <phoneticPr fontId="4" type="noConversion"/>
  </si>
  <si>
    <t>7/10</t>
    <phoneticPr fontId="4" type="noConversion"/>
  </si>
  <si>
    <t>0000-2400</t>
    <phoneticPr fontId="4" type="noConversion"/>
  </si>
  <si>
    <t>計於量販店</t>
    <phoneticPr fontId="4" type="noConversion"/>
  </si>
  <si>
    <t>回饋</t>
    <phoneticPr fontId="4" type="noConversion"/>
  </si>
  <si>
    <t>Budget (net)：</t>
    <phoneticPr fontId="5" type="noConversion"/>
  </si>
  <si>
    <t xml:space="preserve"> </t>
    <phoneticPr fontId="4" type="noConversion"/>
  </si>
  <si>
    <t>AC %：</t>
    <phoneticPr fontId="7" type="noConversion"/>
  </si>
  <si>
    <t>5% Tax ：</t>
    <phoneticPr fontId="7" type="noConversion"/>
  </si>
  <si>
    <t>TOTAL ：</t>
    <phoneticPr fontId="7" type="noConversion"/>
  </si>
  <si>
    <t>※以上各贈檔時段若已滿檔，則須更動時段</t>
    <phoneticPr fontId="4" type="noConversion"/>
  </si>
  <si>
    <t>※以上金額為目前之價格，往後若有調整，則以調整後價格計算</t>
    <phoneticPr fontId="5" type="noConversion"/>
  </si>
  <si>
    <t>※以上報價不包含錄音製作(不得指定特殊配音員或錄音室)。</t>
    <phoneticPr fontId="5" type="noConversion"/>
  </si>
  <si>
    <t>※廣告素材，廣播至少需要播出日之7天前給予(週六.週日除外)</t>
    <phoneticPr fontId="7" type="noConversion"/>
  </si>
  <si>
    <t>全省【萬家福】
連鎖量販店</t>
    <phoneticPr fontId="4" type="noConversion"/>
  </si>
  <si>
    <t>全省【樂家康】
連鎖超市店</t>
    <phoneticPr fontId="4" type="noConversion"/>
  </si>
  <si>
    <t>20秒</t>
    <phoneticPr fontId="4" type="noConversion"/>
  </si>
  <si>
    <t>10秒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</si>
</sst>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0_ "/>
    <numFmt numFmtId="179" formatCode="0_);[Red]\(0\)"/>
    <numFmt numFmtId="180" formatCode="d"/>
    <numFmt numFmtId="181" formatCode="[$-404]aaa;@"/>
    <numFmt numFmtId="182" formatCode="#,##0&quot;&quot;&quot;面&quot;&quot;&quot;"/>
    <numFmt numFmtId="183" formatCode="#,##0&quot;&quot;&quot;秒,影像&quot;&quot;&quot;"/>
    <numFmt numFmtId="184" formatCode="0.00_ "/>
  </numFmts>
  <fonts count="2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24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9"/>
      <name val="細明體"/>
      <family val="3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20"/>
      <color indexed="8"/>
      <name val="微軟正黑體"/>
      <family val="2"/>
      <charset val="136"/>
    </font>
    <font>
      <b/>
      <sz val="18"/>
      <name val="微軟正黑體"/>
      <family val="2"/>
      <charset val="136"/>
    </font>
    <font>
      <sz val="18"/>
      <name val="微軟正黑體"/>
      <family val="2"/>
      <charset val="136"/>
    </font>
    <font>
      <sz val="36"/>
      <color rgb="FF000000"/>
      <name val="Microsoft JhengHei"/>
      <family val="2"/>
      <charset val="136"/>
    </font>
    <font>
      <sz val="22"/>
      <color theme="4" tint="-0.249977111117893"/>
      <name val="微軟正黑體"/>
      <family val="2"/>
      <charset val="136"/>
    </font>
    <font>
      <sz val="22"/>
      <color rgb="FFFF0000"/>
      <name val="微軟正黑體"/>
      <family val="2"/>
      <charset val="136"/>
    </font>
    <font>
      <sz val="22"/>
      <color theme="1" tint="4.9989318521683403E-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2"/>
      <name val="Century Gothic"/>
      <family val="2"/>
    </font>
    <font>
      <sz val="18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sz val="24"/>
      <color theme="1"/>
      <name val="Calibri"/>
      <family val="2"/>
    </font>
    <font>
      <sz val="24"/>
      <color theme="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176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/>
  </cellStyleXfs>
  <cellXfs count="121">
    <xf numFmtId="0" fontId="0" fillId="0" borderId="0" xfId="0">
      <alignment vertical="center"/>
    </xf>
    <xf numFmtId="0" fontId="3" fillId="0" borderId="0" xfId="3" applyFont="1">
      <alignment vertical="center"/>
    </xf>
    <xf numFmtId="0" fontId="3" fillId="0" borderId="0" xfId="3" applyFont="1" applyAlignment="1">
      <alignment horizontal="left"/>
    </xf>
    <xf numFmtId="0" fontId="3" fillId="0" borderId="0" xfId="4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177" fontId="3" fillId="0" borderId="0" xfId="6" applyNumberFormat="1" applyFont="1" applyAlignment="1">
      <alignment horizontal="center" vertical="center"/>
    </xf>
    <xf numFmtId="38" fontId="3" fillId="0" borderId="0" xfId="7" applyNumberFormat="1" applyFont="1" applyFill="1" applyAlignment="1">
      <alignment horizontal="center" vertical="center"/>
    </xf>
    <xf numFmtId="0" fontId="3" fillId="0" borderId="0" xfId="5" applyFont="1" applyAlignment="1">
      <alignment vertical="center"/>
    </xf>
    <xf numFmtId="0" fontId="3" fillId="0" borderId="0" xfId="3" applyFont="1" applyAlignment="1"/>
    <xf numFmtId="0" fontId="3" fillId="0" borderId="0" xfId="4" applyFont="1" applyAlignment="1">
      <alignment vertical="center"/>
    </xf>
    <xf numFmtId="38" fontId="3" fillId="0" borderId="0" xfId="7" applyNumberFormat="1" applyFont="1" applyFill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0" xfId="5" applyFont="1" applyAlignment="1">
      <alignment vertical="center" wrapText="1"/>
    </xf>
    <xf numFmtId="0" fontId="8" fillId="0" borderId="0" xfId="8" applyFont="1" applyAlignment="1">
      <alignment horizontal="center"/>
    </xf>
    <xf numFmtId="0" fontId="8" fillId="0" borderId="0" xfId="5" applyFont="1" applyAlignment="1">
      <alignment vertical="center"/>
    </xf>
    <xf numFmtId="0" fontId="9" fillId="0" borderId="1" xfId="5" applyFont="1" applyBorder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177" fontId="9" fillId="0" borderId="2" xfId="6" applyNumberFormat="1" applyFont="1" applyFill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  <xf numFmtId="177" fontId="9" fillId="0" borderId="3" xfId="6" applyNumberFormat="1" applyFont="1" applyFill="1" applyBorder="1" applyAlignment="1">
      <alignment horizontal="center" vertical="center"/>
    </xf>
    <xf numFmtId="0" fontId="10" fillId="0" borderId="4" xfId="5" applyFont="1" applyBorder="1" applyAlignment="1">
      <alignment horizontal="center" vertical="center"/>
    </xf>
    <xf numFmtId="178" fontId="8" fillId="2" borderId="5" xfId="9" applyNumberFormat="1" applyFont="1" applyFill="1" applyBorder="1" applyAlignment="1">
      <alignment horizontal="center" vertical="center"/>
    </xf>
    <xf numFmtId="178" fontId="8" fillId="2" borderId="5" xfId="9" applyNumberFormat="1" applyFont="1" applyFill="1" applyBorder="1" applyAlignment="1">
      <alignment vertical="center"/>
    </xf>
    <xf numFmtId="178" fontId="8" fillId="2" borderId="6" xfId="9" applyNumberFormat="1" applyFont="1" applyFill="1" applyBorder="1" applyAlignment="1">
      <alignment vertical="center"/>
    </xf>
    <xf numFmtId="0" fontId="10" fillId="0" borderId="0" xfId="5" applyFont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177" fontId="9" fillId="0" borderId="8" xfId="6" applyNumberFormat="1" applyFont="1" applyFill="1" applyBorder="1" applyAlignment="1">
      <alignment horizontal="center" vertical="center" wrapText="1"/>
    </xf>
    <xf numFmtId="0" fontId="9" fillId="0" borderId="8" xfId="5" applyFont="1" applyBorder="1" applyAlignment="1">
      <alignment horizontal="center" vertical="center" wrapText="1"/>
    </xf>
    <xf numFmtId="177" fontId="9" fillId="0" borderId="9" xfId="6" applyNumberFormat="1" applyFont="1" applyFill="1" applyBorder="1" applyAlignment="1">
      <alignment horizontal="center" vertical="center"/>
    </xf>
    <xf numFmtId="179" fontId="11" fillId="2" borderId="10" xfId="9" quotePrefix="1" applyNumberFormat="1" applyFont="1" applyFill="1" applyBorder="1" applyAlignment="1">
      <alignment horizontal="center" vertical="center"/>
    </xf>
    <xf numFmtId="179" fontId="11" fillId="2" borderId="11" xfId="9" quotePrefix="1" applyNumberFormat="1" applyFont="1" applyFill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/>
    </xf>
    <xf numFmtId="180" fontId="12" fillId="0" borderId="3" xfId="0" applyNumberFormat="1" applyFont="1" applyBorder="1" applyAlignment="1">
      <alignment horizontal="center" vertical="center"/>
    </xf>
    <xf numFmtId="0" fontId="9" fillId="0" borderId="12" xfId="5" applyFont="1" applyBorder="1" applyAlignment="1">
      <alignment horizontal="center" vertical="center"/>
    </xf>
    <xf numFmtId="0" fontId="9" fillId="0" borderId="13" xfId="5" applyFont="1" applyBorder="1" applyAlignment="1">
      <alignment horizontal="center" vertical="center"/>
    </xf>
    <xf numFmtId="177" fontId="9" fillId="0" borderId="13" xfId="6" applyNumberFormat="1" applyFont="1" applyFill="1" applyBorder="1" applyAlignment="1">
      <alignment horizontal="center" vertical="center" wrapText="1"/>
    </xf>
    <xf numFmtId="0" fontId="9" fillId="0" borderId="13" xfId="5" applyFont="1" applyBorder="1" applyAlignment="1">
      <alignment horizontal="center" vertical="center" wrapText="1"/>
    </xf>
    <xf numFmtId="177" fontId="9" fillId="0" borderId="14" xfId="6" applyNumberFormat="1" applyFont="1" applyFill="1" applyBorder="1" applyAlignment="1">
      <alignment horizontal="center" vertical="center"/>
    </xf>
    <xf numFmtId="0" fontId="11" fillId="3" borderId="15" xfId="9" applyFont="1" applyFill="1" applyBorder="1" applyAlignment="1">
      <alignment horizontal="center" vertical="center"/>
    </xf>
    <xf numFmtId="0" fontId="11" fillId="3" borderId="13" xfId="9" applyFont="1" applyFill="1" applyBorder="1" applyAlignment="1">
      <alignment horizontal="center" vertical="center"/>
    </xf>
    <xf numFmtId="0" fontId="11" fillId="4" borderId="13" xfId="9" applyFont="1" applyFill="1" applyBorder="1" applyAlignment="1">
      <alignment horizontal="center" vertical="center"/>
    </xf>
    <xf numFmtId="181" fontId="13" fillId="0" borderId="15" xfId="10" applyNumberFormat="1" applyFont="1" applyBorder="1" applyAlignment="1">
      <alignment horizontal="center" vertical="center"/>
    </xf>
    <xf numFmtId="181" fontId="13" fillId="0" borderId="13" xfId="10" applyNumberFormat="1" applyFont="1" applyBorder="1" applyAlignment="1">
      <alignment horizontal="center" vertical="center"/>
    </xf>
    <xf numFmtId="181" fontId="13" fillId="0" borderId="14" xfId="1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1" xfId="5" applyFont="1" applyBorder="1" applyAlignment="1">
      <alignment horizontal="center" vertical="center" wrapText="1"/>
    </xf>
    <xf numFmtId="0" fontId="9" fillId="0" borderId="2" xfId="5" quotePrefix="1" applyFont="1" applyBorder="1" applyAlignment="1">
      <alignment horizontal="center" vertical="center"/>
    </xf>
    <xf numFmtId="0" fontId="9" fillId="2" borderId="2" xfId="11" quotePrefix="1" applyFont="1" applyFill="1" applyBorder="1" applyAlignment="1">
      <alignment horizontal="center" vertical="center" wrapText="1"/>
    </xf>
    <xf numFmtId="177" fontId="9" fillId="0" borderId="2" xfId="6" applyNumberFormat="1" applyFont="1" applyFill="1" applyBorder="1" applyAlignment="1">
      <alignment horizontal="center" vertical="center"/>
    </xf>
    <xf numFmtId="0" fontId="16" fillId="0" borderId="2" xfId="5" applyFont="1" applyBorder="1" applyAlignment="1">
      <alignment horizontal="center" vertical="center"/>
    </xf>
    <xf numFmtId="178" fontId="9" fillId="2" borderId="2" xfId="8" applyNumberFormat="1" applyFont="1" applyFill="1" applyBorder="1" applyAlignment="1">
      <alignment horizontal="center" vertical="center"/>
    </xf>
    <xf numFmtId="177" fontId="17" fillId="0" borderId="2" xfId="1" applyNumberFormat="1" applyFont="1" applyFill="1" applyBorder="1" applyAlignment="1">
      <alignment horizontal="center" vertical="center" wrapText="1"/>
    </xf>
    <xf numFmtId="49" fontId="9" fillId="0" borderId="16" xfId="12" applyNumberFormat="1" applyFont="1" applyBorder="1" applyAlignment="1">
      <alignment horizontal="center" vertical="center" wrapText="1"/>
    </xf>
    <xf numFmtId="178" fontId="18" fillId="0" borderId="17" xfId="13" applyNumberFormat="1" applyFont="1" applyBorder="1" applyAlignment="1">
      <alignment horizontal="center" vertical="center"/>
    </xf>
    <xf numFmtId="178" fontId="18" fillId="0" borderId="2" xfId="13" applyNumberFormat="1" applyFont="1" applyBorder="1" applyAlignment="1">
      <alignment horizontal="center" vertical="center"/>
    </xf>
    <xf numFmtId="178" fontId="18" fillId="0" borderId="3" xfId="13" applyNumberFormat="1" applyFont="1" applyBorder="1" applyAlignment="1">
      <alignment horizontal="center" vertical="center"/>
    </xf>
    <xf numFmtId="0" fontId="10" fillId="2" borderId="0" xfId="5" applyFont="1" applyFill="1" applyAlignment="1">
      <alignment horizontal="center" vertical="center"/>
    </xf>
    <xf numFmtId="0" fontId="9" fillId="0" borderId="7" xfId="5" applyFont="1" applyBorder="1" applyAlignment="1">
      <alignment horizontal="center" vertical="center" wrapText="1"/>
    </xf>
    <xf numFmtId="0" fontId="9" fillId="0" borderId="8" xfId="5" quotePrefix="1" applyFont="1" applyBorder="1" applyAlignment="1">
      <alignment horizontal="center" vertical="center"/>
    </xf>
    <xf numFmtId="0" fontId="9" fillId="2" borderId="8" xfId="11" quotePrefix="1" applyFont="1" applyFill="1" applyBorder="1" applyAlignment="1">
      <alignment horizontal="center" vertical="center" wrapText="1"/>
    </xf>
    <xf numFmtId="177" fontId="9" fillId="0" borderId="8" xfId="6" applyNumberFormat="1" applyFont="1" applyFill="1" applyBorder="1" applyAlignment="1">
      <alignment horizontal="center" vertical="center"/>
    </xf>
    <xf numFmtId="0" fontId="16" fillId="0" borderId="8" xfId="5" applyFont="1" applyBorder="1" applyAlignment="1">
      <alignment horizontal="center" vertical="center"/>
    </xf>
    <xf numFmtId="178" fontId="9" fillId="2" borderId="8" xfId="8" applyNumberFormat="1" applyFont="1" applyFill="1" applyBorder="1" applyAlignment="1">
      <alignment horizontal="center" vertical="center"/>
    </xf>
    <xf numFmtId="177" fontId="17" fillId="0" borderId="8" xfId="1" applyNumberFormat="1" applyFont="1" applyFill="1" applyBorder="1" applyAlignment="1">
      <alignment horizontal="center" vertical="center" wrapText="1"/>
    </xf>
    <xf numFmtId="49" fontId="9" fillId="0" borderId="18" xfId="12" applyNumberFormat="1" applyFont="1" applyBorder="1" applyAlignment="1">
      <alignment horizontal="center" vertical="center" wrapText="1"/>
    </xf>
    <xf numFmtId="178" fontId="18" fillId="0" borderId="19" xfId="13" applyNumberFormat="1" applyFont="1" applyBorder="1" applyAlignment="1">
      <alignment horizontal="center" vertical="center"/>
    </xf>
    <xf numFmtId="178" fontId="18" fillId="0" borderId="8" xfId="13" applyNumberFormat="1" applyFont="1" applyBorder="1" applyAlignment="1">
      <alignment horizontal="center" vertical="center"/>
    </xf>
    <xf numFmtId="178" fontId="18" fillId="0" borderId="9" xfId="13" applyNumberFormat="1" applyFont="1" applyBorder="1" applyAlignment="1">
      <alignment horizontal="center" vertical="center"/>
    </xf>
    <xf numFmtId="0" fontId="15" fillId="0" borderId="7" xfId="5" applyFont="1" applyBorder="1" applyAlignment="1">
      <alignment horizontal="center" vertical="center" wrapText="1"/>
    </xf>
    <xf numFmtId="178" fontId="18" fillId="0" borderId="8" xfId="13" applyNumberFormat="1" applyFont="1" applyBorder="1" applyAlignment="1">
      <alignment horizontal="center" vertical="center"/>
    </xf>
    <xf numFmtId="178" fontId="18" fillId="0" borderId="9" xfId="13" applyNumberFormat="1" applyFont="1" applyBorder="1" applyAlignment="1">
      <alignment horizontal="center" vertical="center"/>
    </xf>
    <xf numFmtId="0" fontId="9" fillId="0" borderId="12" xfId="5" applyFont="1" applyBorder="1" applyAlignment="1">
      <alignment horizontal="center" vertical="center" wrapText="1"/>
    </xf>
    <xf numFmtId="0" fontId="9" fillId="0" borderId="13" xfId="5" quotePrefix="1" applyFont="1" applyBorder="1" applyAlignment="1">
      <alignment horizontal="center" vertical="center"/>
    </xf>
    <xf numFmtId="0" fontId="9" fillId="2" borderId="13" xfId="11" quotePrefix="1" applyFont="1" applyFill="1" applyBorder="1" applyAlignment="1">
      <alignment horizontal="center" vertical="center" wrapText="1"/>
    </xf>
    <xf numFmtId="177" fontId="9" fillId="0" borderId="13" xfId="6" applyNumberFormat="1" applyFont="1" applyFill="1" applyBorder="1" applyAlignment="1">
      <alignment horizontal="center" vertical="center"/>
    </xf>
    <xf numFmtId="0" fontId="16" fillId="0" borderId="13" xfId="5" applyFont="1" applyBorder="1" applyAlignment="1">
      <alignment horizontal="center" vertical="center"/>
    </xf>
    <xf numFmtId="178" fontId="9" fillId="2" borderId="13" xfId="8" applyNumberFormat="1" applyFont="1" applyFill="1" applyBorder="1" applyAlignment="1">
      <alignment horizontal="center" vertical="center"/>
    </xf>
    <xf numFmtId="177" fontId="17" fillId="0" borderId="13" xfId="1" applyNumberFormat="1" applyFont="1" applyFill="1" applyBorder="1" applyAlignment="1">
      <alignment horizontal="center" vertical="center" wrapText="1"/>
    </xf>
    <xf numFmtId="49" fontId="9" fillId="0" borderId="20" xfId="12" applyNumberFormat="1" applyFont="1" applyBorder="1" applyAlignment="1">
      <alignment horizontal="center" vertical="center" wrapText="1"/>
    </xf>
    <xf numFmtId="178" fontId="18" fillId="0" borderId="15" xfId="13" applyNumberFormat="1" applyFont="1" applyBorder="1" applyAlignment="1">
      <alignment horizontal="center" vertical="center"/>
    </xf>
    <xf numFmtId="178" fontId="18" fillId="0" borderId="13" xfId="13" applyNumberFormat="1" applyFont="1" applyBorder="1" applyAlignment="1">
      <alignment horizontal="center" vertical="center"/>
    </xf>
    <xf numFmtId="178" fontId="18" fillId="0" borderId="13" xfId="13" applyNumberFormat="1" applyFont="1" applyBorder="1" applyAlignment="1">
      <alignment horizontal="center" vertical="center"/>
    </xf>
    <xf numFmtId="178" fontId="18" fillId="0" borderId="14" xfId="13" applyNumberFormat="1" applyFont="1" applyBorder="1" applyAlignment="1">
      <alignment horizontal="center" vertical="center"/>
    </xf>
    <xf numFmtId="0" fontId="9" fillId="0" borderId="21" xfId="5" applyFont="1" applyBorder="1" applyAlignment="1">
      <alignment horizontal="center" vertical="center"/>
    </xf>
    <xf numFmtId="0" fontId="9" fillId="0" borderId="22" xfId="5" applyFont="1" applyBorder="1" applyAlignment="1">
      <alignment horizontal="center" vertical="center" wrapText="1"/>
    </xf>
    <xf numFmtId="177" fontId="9" fillId="0" borderId="22" xfId="1" applyNumberFormat="1" applyFont="1" applyBorder="1" applyAlignment="1">
      <alignment horizontal="center" vertical="center"/>
    </xf>
    <xf numFmtId="0" fontId="16" fillId="0" borderId="22" xfId="5" applyFont="1" applyBorder="1" applyAlignment="1">
      <alignment vertical="center"/>
    </xf>
    <xf numFmtId="37" fontId="9" fillId="0" borderId="22" xfId="6" applyNumberFormat="1" applyFont="1" applyBorder="1" applyAlignment="1">
      <alignment horizontal="center" vertical="center"/>
    </xf>
    <xf numFmtId="177" fontId="9" fillId="0" borderId="22" xfId="6" applyNumberFormat="1" applyFont="1" applyBorder="1" applyAlignment="1">
      <alignment horizontal="center" vertical="center"/>
    </xf>
    <xf numFmtId="177" fontId="9" fillId="0" borderId="20" xfId="6" applyNumberFormat="1" applyFont="1" applyBorder="1" applyAlignment="1">
      <alignment horizontal="center" vertical="center"/>
    </xf>
    <xf numFmtId="38" fontId="8" fillId="0" borderId="21" xfId="5" applyNumberFormat="1" applyFont="1" applyBorder="1" applyAlignment="1">
      <alignment horizontal="center" vertical="center"/>
    </xf>
    <xf numFmtId="38" fontId="8" fillId="0" borderId="22" xfId="5" applyNumberFormat="1" applyFont="1" applyBorder="1" applyAlignment="1">
      <alignment horizontal="center" vertical="center"/>
    </xf>
    <xf numFmtId="38" fontId="8" fillId="0" borderId="20" xfId="5" applyNumberFormat="1" applyFont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20" fillId="0" borderId="0" xfId="14" applyFont="1" applyAlignment="1">
      <alignment horizontal="center" vertical="center" wrapText="1"/>
    </xf>
    <xf numFmtId="182" fontId="20" fillId="0" borderId="0" xfId="14" applyNumberFormat="1" applyFont="1" applyAlignment="1">
      <alignment horizontal="center" vertical="center" wrapText="1"/>
    </xf>
    <xf numFmtId="49" fontId="20" fillId="0" borderId="0" xfId="15" quotePrefix="1" applyNumberFormat="1" applyFont="1" applyAlignment="1">
      <alignment horizontal="center" vertical="center"/>
    </xf>
    <xf numFmtId="183" fontId="20" fillId="0" borderId="0" xfId="15" applyNumberFormat="1" applyFont="1" applyAlignment="1">
      <alignment horizontal="center" vertical="center"/>
    </xf>
    <xf numFmtId="38" fontId="20" fillId="2" borderId="4" xfId="15" applyNumberFormat="1" applyFont="1" applyFill="1" applyBorder="1" applyAlignment="1">
      <alignment horizontal="center" vertical="center" wrapText="1"/>
    </xf>
    <xf numFmtId="184" fontId="20" fillId="0" borderId="0" xfId="16" applyNumberFormat="1" applyFont="1" applyAlignment="1">
      <alignment horizontal="center" vertical="center"/>
    </xf>
    <xf numFmtId="0" fontId="21" fillId="0" borderId="0" xfId="5" applyFont="1" applyAlignment="1">
      <alignment vertical="center"/>
    </xf>
    <xf numFmtId="0" fontId="3" fillId="5" borderId="0" xfId="3" applyFont="1" applyFill="1" applyAlignment="1">
      <alignment horizontal="right" vertical="center"/>
    </xf>
    <xf numFmtId="0" fontId="3" fillId="5" borderId="23" xfId="3" applyFont="1" applyFill="1" applyBorder="1" applyAlignment="1">
      <alignment horizontal="right" vertical="center"/>
    </xf>
    <xf numFmtId="177" fontId="22" fillId="0" borderId="23" xfId="6" applyNumberFormat="1" applyFont="1" applyFill="1" applyBorder="1" applyAlignment="1">
      <alignment horizontal="center" vertical="center"/>
    </xf>
    <xf numFmtId="177" fontId="3" fillId="5" borderId="0" xfId="6" applyNumberFormat="1" applyFont="1" applyFill="1" applyBorder="1" applyAlignment="1">
      <alignment vertical="center"/>
    </xf>
    <xf numFmtId="10" fontId="23" fillId="0" borderId="0" xfId="2" applyNumberFormat="1" applyFont="1" applyFill="1" applyBorder="1" applyAlignment="1">
      <alignment horizontal="center" vertical="center"/>
    </xf>
    <xf numFmtId="0" fontId="3" fillId="5" borderId="24" xfId="3" applyFont="1" applyFill="1" applyBorder="1" applyAlignment="1">
      <alignment horizontal="right" vertical="center"/>
    </xf>
    <xf numFmtId="177" fontId="22" fillId="5" borderId="24" xfId="6" applyNumberFormat="1" applyFont="1" applyFill="1" applyBorder="1" applyAlignment="1">
      <alignment vertical="center"/>
    </xf>
    <xf numFmtId="38" fontId="8" fillId="0" borderId="0" xfId="17" applyNumberFormat="1" applyFont="1" applyAlignment="1">
      <alignment vertical="center"/>
    </xf>
    <xf numFmtId="0" fontId="8" fillId="0" borderId="0" xfId="4" applyFont="1" applyAlignment="1">
      <alignment horizontal="left" vertical="center"/>
    </xf>
    <xf numFmtId="177" fontId="3" fillId="5" borderId="24" xfId="6" applyNumberFormat="1" applyFont="1" applyFill="1" applyBorder="1" applyAlignment="1">
      <alignment vertical="center"/>
    </xf>
    <xf numFmtId="0" fontId="24" fillId="0" borderId="0" xfId="0" applyFont="1" applyAlignment="1">
      <alignment horizontal="left" vertical="center" indent="1"/>
    </xf>
    <xf numFmtId="38" fontId="3" fillId="0" borderId="0" xfId="7" applyNumberFormat="1" applyFont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1" fillId="0" borderId="0" xfId="5" applyFont="1" applyAlignment="1">
      <alignment horizontal="center" vertical="center"/>
    </xf>
    <xf numFmtId="177" fontId="21" fillId="0" borderId="0" xfId="6" applyNumberFormat="1" applyFont="1" applyAlignment="1">
      <alignment horizontal="center" vertical="center"/>
    </xf>
    <xf numFmtId="38" fontId="21" fillId="0" borderId="0" xfId="7" applyNumberFormat="1" applyFont="1" applyAlignment="1">
      <alignment horizontal="center" vertical="center"/>
    </xf>
  </cellXfs>
  <cellStyles count="18">
    <cellStyle name="一般" xfId="0" builtinId="0"/>
    <cellStyle name="一般 2" xfId="14" xr:uid="{903720EC-350F-4DD0-AE48-F2A12243ECB7}"/>
    <cellStyle name="一般 2 2" xfId="3" xr:uid="{56448231-2D98-49FF-92E9-207968735005}"/>
    <cellStyle name="一般 3 3" xfId="4" xr:uid="{97E8E8F1-B757-4C3C-977B-FAD6ACFDFD9C}"/>
    <cellStyle name="一般 3_FY09 Debit Education and Channel Promotion-Radio" xfId="15" xr:uid="{F6BBA9A0-914A-4B23-BE94-2FA289212C46}"/>
    <cellStyle name="一般_1010220-新理想-新北郡-100萬-成本版" xfId="13" xr:uid="{C5A6589C-08A6-4156-818D-2690CFA261CA}"/>
    <cellStyle name="一般_8803-05RD_TOYOTA2005.06_TOYOTA2006.04" xfId="10" xr:uid="{09D61941-E9D0-4F26-B76E-23791783DB37}"/>
    <cellStyle name="一般_8803-05RD_和泰汽車--中古車(2005.04月)_和泰汽車--中古車(2005.04月)_CANON數位相機(1004修改)_CANON數位相機(1004修改)_采威廣告0609" xfId="8" xr:uid="{0FE2DE33-C89C-4B2C-B815-C831D3D40D6B}"/>
    <cellStyle name="一般_8803-05RD_和泰汽車--中古車(2005.04月)_和泰汽車--中古車(2005.04月)_CANON數位相機(1004修改)_CANON數位相機(1004修改)_采威廣告0609_排期表-2009-0923" xfId="5" xr:uid="{559C1272-DD39-4926-9B5B-2DE614AA9823}"/>
    <cellStyle name="一般_Cue_TV1" xfId="17" xr:uid="{F01A6DC8-9680-4F1E-B24E-923FC464CBC2}"/>
    <cellStyle name="一般_ICBC-新卡上市930701sales_980519 昇恒昌季約150萬成本版_0616-0719-山頂鳥_1000531 山頂鳥80萬成本版" xfId="16" xr:uid="{80A0F096-849A-4586-B38A-61AC08FF6468}"/>
    <cellStyle name="一般_ICBC-新卡上市930701sales_980909光合廣告-伴月灣200萬成本版-1_980910光合廣告-伴月灣200萬成本版(修)_991216 喜年來成本版_991216 喜年來成本版" xfId="11" xr:uid="{7F5AFD62-9D18-4919-91E3-72940937220C}"/>
    <cellStyle name="一般_ICBC-新卡上市930701sales_990806 保誠投信 (19萬未稅)成本版" xfId="9" xr:uid="{9DC0FD79-B3F0-4645-80D6-23452D074329}"/>
    <cellStyle name="一般_春季展CUE_台北電腦應用展930607_聯禾團隊cue930913_970802甲山林0817-0916台北灣250 萬成本版_970902甲山林0917-1016台北灣150萬成本版_970902甲山林0917-1016台北灣150萬成本版_981005台北灣1012-1101 140萬成本版_990329(修)寶路-玉上園80萬成本版_990504 寶路-玉上園120萬成本版_990506 台北灣0529-0628成本版" xfId="12" xr:uid="{F3286D72-F7F0-4F06-BFC4-A26ED3AFB953}"/>
    <cellStyle name="千分位 2 4" xfId="7" xr:uid="{67AE4300-C2FE-412B-86E8-50AB1785384F}"/>
    <cellStyle name="百分比" xfId="2" builtinId="5"/>
    <cellStyle name="貨幣" xfId="1" builtinId="4"/>
    <cellStyle name="貨幣_2008h40萬" xfId="6" xr:uid="{59C227D6-D8F7-4DEA-ACAA-47A6662109EC}"/>
  </cellStyles>
  <dxfs count="6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7A65E.6EE902E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7A65E.6EE902E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7A65E.6EE902E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897582</xdr:colOff>
      <xdr:row>3</xdr:row>
      <xdr:rowOff>68791</xdr:rowOff>
    </xdr:from>
    <xdr:to>
      <xdr:col>37</xdr:col>
      <xdr:colOff>709083</xdr:colOff>
      <xdr:row>6</xdr:row>
      <xdr:rowOff>177272</xdr:rowOff>
    </xdr:to>
    <xdr:pic>
      <xdr:nvPicPr>
        <xdr:cNvPr id="2" name="圖片 1" descr="cid:image001.png@01D7A65E.6EE902E0">
          <a:extLst>
            <a:ext uri="{FF2B5EF4-FFF2-40B4-BE49-F238E27FC236}">
              <a16:creationId xmlns:a16="http://schemas.microsoft.com/office/drawing/2014/main" id="{789AD698-F470-41F0-8071-623114FF5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1715" y="1580091"/>
          <a:ext cx="3375968" cy="1619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897582</xdr:colOff>
      <xdr:row>3</xdr:row>
      <xdr:rowOff>68791</xdr:rowOff>
    </xdr:from>
    <xdr:to>
      <xdr:col>37</xdr:col>
      <xdr:colOff>709083</xdr:colOff>
      <xdr:row>6</xdr:row>
      <xdr:rowOff>177272</xdr:rowOff>
    </xdr:to>
    <xdr:pic>
      <xdr:nvPicPr>
        <xdr:cNvPr id="2" name="圖片 1" descr="cid:image001.png@01D7A65E.6EE902E0">
          <a:extLst>
            <a:ext uri="{FF2B5EF4-FFF2-40B4-BE49-F238E27FC236}">
              <a16:creationId xmlns:a16="http://schemas.microsoft.com/office/drawing/2014/main" id="{A990463C-B3C2-44C8-AE1D-91A58274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1715" y="1580091"/>
          <a:ext cx="3375968" cy="1619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897582</xdr:colOff>
      <xdr:row>3</xdr:row>
      <xdr:rowOff>68791</xdr:rowOff>
    </xdr:from>
    <xdr:to>
      <xdr:col>37</xdr:col>
      <xdr:colOff>709083</xdr:colOff>
      <xdr:row>6</xdr:row>
      <xdr:rowOff>177272</xdr:rowOff>
    </xdr:to>
    <xdr:pic>
      <xdr:nvPicPr>
        <xdr:cNvPr id="2" name="圖片 1" descr="cid:image001.png@01D7A65E.6EE902E0">
          <a:extLst>
            <a:ext uri="{FF2B5EF4-FFF2-40B4-BE49-F238E27FC236}">
              <a16:creationId xmlns:a16="http://schemas.microsoft.com/office/drawing/2014/main" id="{C76C6919-201D-4066-A89C-E6FC8033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1715" y="1580091"/>
          <a:ext cx="3375968" cy="1619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1150623-CUE%202008-2026&#24180;&#24230;-&#32113;&#19968;&#40629;-&#22799;&#26085;100&#23478;&#27138;&#31119;&#24291;&#25773;-75&#33836;%20(5).xlsx" TargetMode="External"/><Relationship Id="rId2" Type="http://schemas.openxmlformats.org/officeDocument/2006/relationships/externalLinkPath" Target="file:///C:\Users\USER\Downloads\1150623-CUE%202008-2026&#24180;&#24230;-&#32113;&#19968;&#40629;-&#22799;&#26085;100&#23478;&#27138;&#31119;&#24291;&#25773;-75&#33836;%20(5).xlsx" TargetMode="External"/><Relationship Id="rId1" Type="http://schemas.openxmlformats.org/officeDocument/2006/relationships/externalLinkPath" Target="/Users/USER/Downloads/1150623-CUE%202008-2026&#24180;&#24230;-&#32113;&#19968;&#40629;-&#22799;&#26085;100&#23478;&#27138;&#31119;&#24291;&#25773;-75&#33836;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7月家樂福-25萬-0717-0730"/>
      <sheetName val="8月家樂福-25萬-0814-0827"/>
      <sheetName val="9月家樂福-25萬-0911-0924"/>
      <sheetName val="7-9月家樂福手推車0720-1019"/>
      <sheetName val="工作表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925B-A934-480D-A248-B67FF63E48E9}">
  <sheetPr>
    <tabColor rgb="FFFF0000"/>
    <pageSetUpPr fitToPage="1"/>
  </sheetPr>
  <dimension ref="A1:AT25"/>
  <sheetViews>
    <sheetView showGridLines="0" view="pageBreakPreview" zoomScale="40" zoomScaleNormal="60" zoomScaleSheetLayoutView="40" workbookViewId="0">
      <selection activeCell="AE21" sqref="AE21"/>
    </sheetView>
  </sheetViews>
  <sheetFormatPr defaultColWidth="8.87890625" defaultRowHeight="15.7"/>
  <cols>
    <col min="1" max="1" width="43.87890625" style="118" customWidth="1"/>
    <col min="2" max="2" width="22" style="118" customWidth="1"/>
    <col min="3" max="3" width="38.64453125" style="118" customWidth="1"/>
    <col min="4" max="4" width="32.3515625" style="118" customWidth="1"/>
    <col min="5" max="5" width="31.64453125" style="118" customWidth="1"/>
    <col min="6" max="6" width="22.64453125" style="119" customWidth="1"/>
    <col min="7" max="7" width="30.64453125" style="119" customWidth="1"/>
    <col min="8" max="8" width="26.64453125" style="119" customWidth="1"/>
    <col min="9" max="24" width="12.3515625" style="120" hidden="1" customWidth="1"/>
    <col min="25" max="38" width="12.3515625" style="120" customWidth="1"/>
    <col min="39" max="236" width="8.87890625" style="104"/>
    <col min="237" max="237" width="14.3515625" style="104" customWidth="1"/>
    <col min="238" max="238" width="21.87890625" style="104" customWidth="1"/>
    <col min="239" max="239" width="16" style="104" customWidth="1"/>
    <col min="240" max="240" width="54" style="104" customWidth="1"/>
    <col min="241" max="241" width="22.1171875" style="104" customWidth="1"/>
    <col min="242" max="242" width="21.46875" style="104" customWidth="1"/>
    <col min="243" max="243" width="17.87890625" style="104" customWidth="1"/>
    <col min="244" max="244" width="17" style="104" customWidth="1"/>
    <col min="245" max="246" width="28.1171875" style="104" customWidth="1"/>
    <col min="247" max="247" width="26.46875" style="104" customWidth="1"/>
    <col min="248" max="264" width="11.64453125" style="104" customWidth="1"/>
    <col min="265" max="265" width="16.3515625" style="104" customWidth="1"/>
    <col min="266" max="266" width="13.87890625" style="104" customWidth="1"/>
    <col min="267" max="270" width="11.64453125" style="104" customWidth="1"/>
    <col min="271" max="271" width="20.1171875" style="104" customWidth="1"/>
    <col min="272" max="273" width="2.64453125" style="104" customWidth="1"/>
    <col min="274" max="492" width="8.87890625" style="104"/>
    <col min="493" max="493" width="14.3515625" style="104" customWidth="1"/>
    <col min="494" max="494" width="21.87890625" style="104" customWidth="1"/>
    <col min="495" max="495" width="16" style="104" customWidth="1"/>
    <col min="496" max="496" width="54" style="104" customWidth="1"/>
    <col min="497" max="497" width="22.1171875" style="104" customWidth="1"/>
    <col min="498" max="498" width="21.46875" style="104" customWidth="1"/>
    <col min="499" max="499" width="17.87890625" style="104" customWidth="1"/>
    <col min="500" max="500" width="17" style="104" customWidth="1"/>
    <col min="501" max="502" width="28.1171875" style="104" customWidth="1"/>
    <col min="503" max="503" width="26.46875" style="104" customWidth="1"/>
    <col min="504" max="520" width="11.64453125" style="104" customWidth="1"/>
    <col min="521" max="521" width="16.3515625" style="104" customWidth="1"/>
    <col min="522" max="522" width="13.87890625" style="104" customWidth="1"/>
    <col min="523" max="526" width="11.64453125" style="104" customWidth="1"/>
    <col min="527" max="527" width="20.1171875" style="104" customWidth="1"/>
    <col min="528" max="529" width="2.64453125" style="104" customWidth="1"/>
    <col min="530" max="748" width="8.87890625" style="104"/>
    <col min="749" max="749" width="14.3515625" style="104" customWidth="1"/>
    <col min="750" max="750" width="21.87890625" style="104" customWidth="1"/>
    <col min="751" max="751" width="16" style="104" customWidth="1"/>
    <col min="752" max="752" width="54" style="104" customWidth="1"/>
    <col min="753" max="753" width="22.1171875" style="104" customWidth="1"/>
    <col min="754" max="754" width="21.46875" style="104" customWidth="1"/>
    <col min="755" max="755" width="17.87890625" style="104" customWidth="1"/>
    <col min="756" max="756" width="17" style="104" customWidth="1"/>
    <col min="757" max="758" width="28.1171875" style="104" customWidth="1"/>
    <col min="759" max="759" width="26.46875" style="104" customWidth="1"/>
    <col min="760" max="776" width="11.64453125" style="104" customWidth="1"/>
    <col min="777" max="777" width="16.3515625" style="104" customWidth="1"/>
    <col min="778" max="778" width="13.87890625" style="104" customWidth="1"/>
    <col min="779" max="782" width="11.64453125" style="104" customWidth="1"/>
    <col min="783" max="783" width="20.1171875" style="104" customWidth="1"/>
    <col min="784" max="785" width="2.64453125" style="104" customWidth="1"/>
    <col min="786" max="1004" width="8.87890625" style="104"/>
    <col min="1005" max="1005" width="14.3515625" style="104" customWidth="1"/>
    <col min="1006" max="1006" width="21.87890625" style="104" customWidth="1"/>
    <col min="1007" max="1007" width="16" style="104" customWidth="1"/>
    <col min="1008" max="1008" width="54" style="104" customWidth="1"/>
    <col min="1009" max="1009" width="22.1171875" style="104" customWidth="1"/>
    <col min="1010" max="1010" width="21.46875" style="104" customWidth="1"/>
    <col min="1011" max="1011" width="17.87890625" style="104" customWidth="1"/>
    <col min="1012" max="1012" width="17" style="104" customWidth="1"/>
    <col min="1013" max="1014" width="28.1171875" style="104" customWidth="1"/>
    <col min="1015" max="1015" width="26.46875" style="104" customWidth="1"/>
    <col min="1016" max="1032" width="11.64453125" style="104" customWidth="1"/>
    <col min="1033" max="1033" width="16.3515625" style="104" customWidth="1"/>
    <col min="1034" max="1034" width="13.87890625" style="104" customWidth="1"/>
    <col min="1035" max="1038" width="11.64453125" style="104" customWidth="1"/>
    <col min="1039" max="1039" width="20.1171875" style="104" customWidth="1"/>
    <col min="1040" max="1041" width="2.64453125" style="104" customWidth="1"/>
    <col min="1042" max="1260" width="8.87890625" style="104"/>
    <col min="1261" max="1261" width="14.3515625" style="104" customWidth="1"/>
    <col min="1262" max="1262" width="21.87890625" style="104" customWidth="1"/>
    <col min="1263" max="1263" width="16" style="104" customWidth="1"/>
    <col min="1264" max="1264" width="54" style="104" customWidth="1"/>
    <col min="1265" max="1265" width="22.1171875" style="104" customWidth="1"/>
    <col min="1266" max="1266" width="21.46875" style="104" customWidth="1"/>
    <col min="1267" max="1267" width="17.87890625" style="104" customWidth="1"/>
    <col min="1268" max="1268" width="17" style="104" customWidth="1"/>
    <col min="1269" max="1270" width="28.1171875" style="104" customWidth="1"/>
    <col min="1271" max="1271" width="26.46875" style="104" customWidth="1"/>
    <col min="1272" max="1288" width="11.64453125" style="104" customWidth="1"/>
    <col min="1289" max="1289" width="16.3515625" style="104" customWidth="1"/>
    <col min="1290" max="1290" width="13.87890625" style="104" customWidth="1"/>
    <col min="1291" max="1294" width="11.64453125" style="104" customWidth="1"/>
    <col min="1295" max="1295" width="20.1171875" style="104" customWidth="1"/>
    <col min="1296" max="1297" width="2.64453125" style="104" customWidth="1"/>
    <col min="1298" max="1516" width="8.87890625" style="104"/>
    <col min="1517" max="1517" width="14.3515625" style="104" customWidth="1"/>
    <col min="1518" max="1518" width="21.87890625" style="104" customWidth="1"/>
    <col min="1519" max="1519" width="16" style="104" customWidth="1"/>
    <col min="1520" max="1520" width="54" style="104" customWidth="1"/>
    <col min="1521" max="1521" width="22.1171875" style="104" customWidth="1"/>
    <col min="1522" max="1522" width="21.46875" style="104" customWidth="1"/>
    <col min="1523" max="1523" width="17.87890625" style="104" customWidth="1"/>
    <col min="1524" max="1524" width="17" style="104" customWidth="1"/>
    <col min="1525" max="1526" width="28.1171875" style="104" customWidth="1"/>
    <col min="1527" max="1527" width="26.46875" style="104" customWidth="1"/>
    <col min="1528" max="1544" width="11.64453125" style="104" customWidth="1"/>
    <col min="1545" max="1545" width="16.3515625" style="104" customWidth="1"/>
    <col min="1546" max="1546" width="13.87890625" style="104" customWidth="1"/>
    <col min="1547" max="1550" width="11.64453125" style="104" customWidth="1"/>
    <col min="1551" max="1551" width="20.1171875" style="104" customWidth="1"/>
    <col min="1552" max="1553" width="2.64453125" style="104" customWidth="1"/>
    <col min="1554" max="1772" width="8.87890625" style="104"/>
    <col min="1773" max="1773" width="14.3515625" style="104" customWidth="1"/>
    <col min="1774" max="1774" width="21.87890625" style="104" customWidth="1"/>
    <col min="1775" max="1775" width="16" style="104" customWidth="1"/>
    <col min="1776" max="1776" width="54" style="104" customWidth="1"/>
    <col min="1777" max="1777" width="22.1171875" style="104" customWidth="1"/>
    <col min="1778" max="1778" width="21.46875" style="104" customWidth="1"/>
    <col min="1779" max="1779" width="17.87890625" style="104" customWidth="1"/>
    <col min="1780" max="1780" width="17" style="104" customWidth="1"/>
    <col min="1781" max="1782" width="28.1171875" style="104" customWidth="1"/>
    <col min="1783" max="1783" width="26.46875" style="104" customWidth="1"/>
    <col min="1784" max="1800" width="11.64453125" style="104" customWidth="1"/>
    <col min="1801" max="1801" width="16.3515625" style="104" customWidth="1"/>
    <col min="1802" max="1802" width="13.87890625" style="104" customWidth="1"/>
    <col min="1803" max="1806" width="11.64453125" style="104" customWidth="1"/>
    <col min="1807" max="1807" width="20.1171875" style="104" customWidth="1"/>
    <col min="1808" max="1809" width="2.64453125" style="104" customWidth="1"/>
    <col min="1810" max="2028" width="8.87890625" style="104"/>
    <col min="2029" max="2029" width="14.3515625" style="104" customWidth="1"/>
    <col min="2030" max="2030" width="21.87890625" style="104" customWidth="1"/>
    <col min="2031" max="2031" width="16" style="104" customWidth="1"/>
    <col min="2032" max="2032" width="54" style="104" customWidth="1"/>
    <col min="2033" max="2033" width="22.1171875" style="104" customWidth="1"/>
    <col min="2034" max="2034" width="21.46875" style="104" customWidth="1"/>
    <col min="2035" max="2035" width="17.87890625" style="104" customWidth="1"/>
    <col min="2036" max="2036" width="17" style="104" customWidth="1"/>
    <col min="2037" max="2038" width="28.1171875" style="104" customWidth="1"/>
    <col min="2039" max="2039" width="26.46875" style="104" customWidth="1"/>
    <col min="2040" max="2056" width="11.64453125" style="104" customWidth="1"/>
    <col min="2057" max="2057" width="16.3515625" style="104" customWidth="1"/>
    <col min="2058" max="2058" width="13.87890625" style="104" customWidth="1"/>
    <col min="2059" max="2062" width="11.64453125" style="104" customWidth="1"/>
    <col min="2063" max="2063" width="20.1171875" style="104" customWidth="1"/>
    <col min="2064" max="2065" width="2.64453125" style="104" customWidth="1"/>
    <col min="2066" max="2284" width="8.87890625" style="104"/>
    <col min="2285" max="2285" width="14.3515625" style="104" customWidth="1"/>
    <col min="2286" max="2286" width="21.87890625" style="104" customWidth="1"/>
    <col min="2287" max="2287" width="16" style="104" customWidth="1"/>
    <col min="2288" max="2288" width="54" style="104" customWidth="1"/>
    <col min="2289" max="2289" width="22.1171875" style="104" customWidth="1"/>
    <col min="2290" max="2290" width="21.46875" style="104" customWidth="1"/>
    <col min="2291" max="2291" width="17.87890625" style="104" customWidth="1"/>
    <col min="2292" max="2292" width="17" style="104" customWidth="1"/>
    <col min="2293" max="2294" width="28.1171875" style="104" customWidth="1"/>
    <col min="2295" max="2295" width="26.46875" style="104" customWidth="1"/>
    <col min="2296" max="2312" width="11.64453125" style="104" customWidth="1"/>
    <col min="2313" max="2313" width="16.3515625" style="104" customWidth="1"/>
    <col min="2314" max="2314" width="13.87890625" style="104" customWidth="1"/>
    <col min="2315" max="2318" width="11.64453125" style="104" customWidth="1"/>
    <col min="2319" max="2319" width="20.1171875" style="104" customWidth="1"/>
    <col min="2320" max="2321" width="2.64453125" style="104" customWidth="1"/>
    <col min="2322" max="2540" width="8.87890625" style="104"/>
    <col min="2541" max="2541" width="14.3515625" style="104" customWidth="1"/>
    <col min="2542" max="2542" width="21.87890625" style="104" customWidth="1"/>
    <col min="2543" max="2543" width="16" style="104" customWidth="1"/>
    <col min="2544" max="2544" width="54" style="104" customWidth="1"/>
    <col min="2545" max="2545" width="22.1171875" style="104" customWidth="1"/>
    <col min="2546" max="2546" width="21.46875" style="104" customWidth="1"/>
    <col min="2547" max="2547" width="17.87890625" style="104" customWidth="1"/>
    <col min="2548" max="2548" width="17" style="104" customWidth="1"/>
    <col min="2549" max="2550" width="28.1171875" style="104" customWidth="1"/>
    <col min="2551" max="2551" width="26.46875" style="104" customWidth="1"/>
    <col min="2552" max="2568" width="11.64453125" style="104" customWidth="1"/>
    <col min="2569" max="2569" width="16.3515625" style="104" customWidth="1"/>
    <col min="2570" max="2570" width="13.87890625" style="104" customWidth="1"/>
    <col min="2571" max="2574" width="11.64453125" style="104" customWidth="1"/>
    <col min="2575" max="2575" width="20.1171875" style="104" customWidth="1"/>
    <col min="2576" max="2577" width="2.64453125" style="104" customWidth="1"/>
    <col min="2578" max="2796" width="8.87890625" style="104"/>
    <col min="2797" max="2797" width="14.3515625" style="104" customWidth="1"/>
    <col min="2798" max="2798" width="21.87890625" style="104" customWidth="1"/>
    <col min="2799" max="2799" width="16" style="104" customWidth="1"/>
    <col min="2800" max="2800" width="54" style="104" customWidth="1"/>
    <col min="2801" max="2801" width="22.1171875" style="104" customWidth="1"/>
    <col min="2802" max="2802" width="21.46875" style="104" customWidth="1"/>
    <col min="2803" max="2803" width="17.87890625" style="104" customWidth="1"/>
    <col min="2804" max="2804" width="17" style="104" customWidth="1"/>
    <col min="2805" max="2806" width="28.1171875" style="104" customWidth="1"/>
    <col min="2807" max="2807" width="26.46875" style="104" customWidth="1"/>
    <col min="2808" max="2824" width="11.64453125" style="104" customWidth="1"/>
    <col min="2825" max="2825" width="16.3515625" style="104" customWidth="1"/>
    <col min="2826" max="2826" width="13.87890625" style="104" customWidth="1"/>
    <col min="2827" max="2830" width="11.64453125" style="104" customWidth="1"/>
    <col min="2831" max="2831" width="20.1171875" style="104" customWidth="1"/>
    <col min="2832" max="2833" width="2.64453125" style="104" customWidth="1"/>
    <col min="2834" max="3052" width="8.87890625" style="104"/>
    <col min="3053" max="3053" width="14.3515625" style="104" customWidth="1"/>
    <col min="3054" max="3054" width="21.87890625" style="104" customWidth="1"/>
    <col min="3055" max="3055" width="16" style="104" customWidth="1"/>
    <col min="3056" max="3056" width="54" style="104" customWidth="1"/>
    <col min="3057" max="3057" width="22.1171875" style="104" customWidth="1"/>
    <col min="3058" max="3058" width="21.46875" style="104" customWidth="1"/>
    <col min="3059" max="3059" width="17.87890625" style="104" customWidth="1"/>
    <col min="3060" max="3060" width="17" style="104" customWidth="1"/>
    <col min="3061" max="3062" width="28.1171875" style="104" customWidth="1"/>
    <col min="3063" max="3063" width="26.46875" style="104" customWidth="1"/>
    <col min="3064" max="3080" width="11.64453125" style="104" customWidth="1"/>
    <col min="3081" max="3081" width="16.3515625" style="104" customWidth="1"/>
    <col min="3082" max="3082" width="13.87890625" style="104" customWidth="1"/>
    <col min="3083" max="3086" width="11.64453125" style="104" customWidth="1"/>
    <col min="3087" max="3087" width="20.1171875" style="104" customWidth="1"/>
    <col min="3088" max="3089" width="2.64453125" style="104" customWidth="1"/>
    <col min="3090" max="3308" width="8.87890625" style="104"/>
    <col min="3309" max="3309" width="14.3515625" style="104" customWidth="1"/>
    <col min="3310" max="3310" width="21.87890625" style="104" customWidth="1"/>
    <col min="3311" max="3311" width="16" style="104" customWidth="1"/>
    <col min="3312" max="3312" width="54" style="104" customWidth="1"/>
    <col min="3313" max="3313" width="22.1171875" style="104" customWidth="1"/>
    <col min="3314" max="3314" width="21.46875" style="104" customWidth="1"/>
    <col min="3315" max="3315" width="17.87890625" style="104" customWidth="1"/>
    <col min="3316" max="3316" width="17" style="104" customWidth="1"/>
    <col min="3317" max="3318" width="28.1171875" style="104" customWidth="1"/>
    <col min="3319" max="3319" width="26.46875" style="104" customWidth="1"/>
    <col min="3320" max="3336" width="11.64453125" style="104" customWidth="1"/>
    <col min="3337" max="3337" width="16.3515625" style="104" customWidth="1"/>
    <col min="3338" max="3338" width="13.87890625" style="104" customWidth="1"/>
    <col min="3339" max="3342" width="11.64453125" style="104" customWidth="1"/>
    <col min="3343" max="3343" width="20.1171875" style="104" customWidth="1"/>
    <col min="3344" max="3345" width="2.64453125" style="104" customWidth="1"/>
    <col min="3346" max="3564" width="8.87890625" style="104"/>
    <col min="3565" max="3565" width="14.3515625" style="104" customWidth="1"/>
    <col min="3566" max="3566" width="21.87890625" style="104" customWidth="1"/>
    <col min="3567" max="3567" width="16" style="104" customWidth="1"/>
    <col min="3568" max="3568" width="54" style="104" customWidth="1"/>
    <col min="3569" max="3569" width="22.1171875" style="104" customWidth="1"/>
    <col min="3570" max="3570" width="21.46875" style="104" customWidth="1"/>
    <col min="3571" max="3571" width="17.87890625" style="104" customWidth="1"/>
    <col min="3572" max="3572" width="17" style="104" customWidth="1"/>
    <col min="3573" max="3574" width="28.1171875" style="104" customWidth="1"/>
    <col min="3575" max="3575" width="26.46875" style="104" customWidth="1"/>
    <col min="3576" max="3592" width="11.64453125" style="104" customWidth="1"/>
    <col min="3593" max="3593" width="16.3515625" style="104" customWidth="1"/>
    <col min="3594" max="3594" width="13.87890625" style="104" customWidth="1"/>
    <col min="3595" max="3598" width="11.64453125" style="104" customWidth="1"/>
    <col min="3599" max="3599" width="20.1171875" style="104" customWidth="1"/>
    <col min="3600" max="3601" width="2.64453125" style="104" customWidth="1"/>
    <col min="3602" max="3820" width="8.87890625" style="104"/>
    <col min="3821" max="3821" width="14.3515625" style="104" customWidth="1"/>
    <col min="3822" max="3822" width="21.87890625" style="104" customWidth="1"/>
    <col min="3823" max="3823" width="16" style="104" customWidth="1"/>
    <col min="3824" max="3824" width="54" style="104" customWidth="1"/>
    <col min="3825" max="3825" width="22.1171875" style="104" customWidth="1"/>
    <col min="3826" max="3826" width="21.46875" style="104" customWidth="1"/>
    <col min="3827" max="3827" width="17.87890625" style="104" customWidth="1"/>
    <col min="3828" max="3828" width="17" style="104" customWidth="1"/>
    <col min="3829" max="3830" width="28.1171875" style="104" customWidth="1"/>
    <col min="3831" max="3831" width="26.46875" style="104" customWidth="1"/>
    <col min="3832" max="3848" width="11.64453125" style="104" customWidth="1"/>
    <col min="3849" max="3849" width="16.3515625" style="104" customWidth="1"/>
    <col min="3850" max="3850" width="13.87890625" style="104" customWidth="1"/>
    <col min="3851" max="3854" width="11.64453125" style="104" customWidth="1"/>
    <col min="3855" max="3855" width="20.1171875" style="104" customWidth="1"/>
    <col min="3856" max="3857" width="2.64453125" style="104" customWidth="1"/>
    <col min="3858" max="4076" width="8.87890625" style="104"/>
    <col min="4077" max="4077" width="14.3515625" style="104" customWidth="1"/>
    <col min="4078" max="4078" width="21.87890625" style="104" customWidth="1"/>
    <col min="4079" max="4079" width="16" style="104" customWidth="1"/>
    <col min="4080" max="4080" width="54" style="104" customWidth="1"/>
    <col min="4081" max="4081" width="22.1171875" style="104" customWidth="1"/>
    <col min="4082" max="4082" width="21.46875" style="104" customWidth="1"/>
    <col min="4083" max="4083" width="17.87890625" style="104" customWidth="1"/>
    <col min="4084" max="4084" width="17" style="104" customWidth="1"/>
    <col min="4085" max="4086" width="28.1171875" style="104" customWidth="1"/>
    <col min="4087" max="4087" width="26.46875" style="104" customWidth="1"/>
    <col min="4088" max="4104" width="11.64453125" style="104" customWidth="1"/>
    <col min="4105" max="4105" width="16.3515625" style="104" customWidth="1"/>
    <col min="4106" max="4106" width="13.87890625" style="104" customWidth="1"/>
    <col min="4107" max="4110" width="11.64453125" style="104" customWidth="1"/>
    <col min="4111" max="4111" width="20.1171875" style="104" customWidth="1"/>
    <col min="4112" max="4113" width="2.64453125" style="104" customWidth="1"/>
    <col min="4114" max="4332" width="8.87890625" style="104"/>
    <col min="4333" max="4333" width="14.3515625" style="104" customWidth="1"/>
    <col min="4334" max="4334" width="21.87890625" style="104" customWidth="1"/>
    <col min="4335" max="4335" width="16" style="104" customWidth="1"/>
    <col min="4336" max="4336" width="54" style="104" customWidth="1"/>
    <col min="4337" max="4337" width="22.1171875" style="104" customWidth="1"/>
    <col min="4338" max="4338" width="21.46875" style="104" customWidth="1"/>
    <col min="4339" max="4339" width="17.87890625" style="104" customWidth="1"/>
    <col min="4340" max="4340" width="17" style="104" customWidth="1"/>
    <col min="4341" max="4342" width="28.1171875" style="104" customWidth="1"/>
    <col min="4343" max="4343" width="26.46875" style="104" customWidth="1"/>
    <col min="4344" max="4360" width="11.64453125" style="104" customWidth="1"/>
    <col min="4361" max="4361" width="16.3515625" style="104" customWidth="1"/>
    <col min="4362" max="4362" width="13.87890625" style="104" customWidth="1"/>
    <col min="4363" max="4366" width="11.64453125" style="104" customWidth="1"/>
    <col min="4367" max="4367" width="20.1171875" style="104" customWidth="1"/>
    <col min="4368" max="4369" width="2.64453125" style="104" customWidth="1"/>
    <col min="4370" max="4588" width="8.87890625" style="104"/>
    <col min="4589" max="4589" width="14.3515625" style="104" customWidth="1"/>
    <col min="4590" max="4590" width="21.87890625" style="104" customWidth="1"/>
    <col min="4591" max="4591" width="16" style="104" customWidth="1"/>
    <col min="4592" max="4592" width="54" style="104" customWidth="1"/>
    <col min="4593" max="4593" width="22.1171875" style="104" customWidth="1"/>
    <col min="4594" max="4594" width="21.46875" style="104" customWidth="1"/>
    <col min="4595" max="4595" width="17.87890625" style="104" customWidth="1"/>
    <col min="4596" max="4596" width="17" style="104" customWidth="1"/>
    <col min="4597" max="4598" width="28.1171875" style="104" customWidth="1"/>
    <col min="4599" max="4599" width="26.46875" style="104" customWidth="1"/>
    <col min="4600" max="4616" width="11.64453125" style="104" customWidth="1"/>
    <col min="4617" max="4617" width="16.3515625" style="104" customWidth="1"/>
    <col min="4618" max="4618" width="13.87890625" style="104" customWidth="1"/>
    <col min="4619" max="4622" width="11.64453125" style="104" customWidth="1"/>
    <col min="4623" max="4623" width="20.1171875" style="104" customWidth="1"/>
    <col min="4624" max="4625" width="2.64453125" style="104" customWidth="1"/>
    <col min="4626" max="4844" width="8.87890625" style="104"/>
    <col min="4845" max="4845" width="14.3515625" style="104" customWidth="1"/>
    <col min="4846" max="4846" width="21.87890625" style="104" customWidth="1"/>
    <col min="4847" max="4847" width="16" style="104" customWidth="1"/>
    <col min="4848" max="4848" width="54" style="104" customWidth="1"/>
    <col min="4849" max="4849" width="22.1171875" style="104" customWidth="1"/>
    <col min="4850" max="4850" width="21.46875" style="104" customWidth="1"/>
    <col min="4851" max="4851" width="17.87890625" style="104" customWidth="1"/>
    <col min="4852" max="4852" width="17" style="104" customWidth="1"/>
    <col min="4853" max="4854" width="28.1171875" style="104" customWidth="1"/>
    <col min="4855" max="4855" width="26.46875" style="104" customWidth="1"/>
    <col min="4856" max="4872" width="11.64453125" style="104" customWidth="1"/>
    <col min="4873" max="4873" width="16.3515625" style="104" customWidth="1"/>
    <col min="4874" max="4874" width="13.87890625" style="104" customWidth="1"/>
    <col min="4875" max="4878" width="11.64453125" style="104" customWidth="1"/>
    <col min="4879" max="4879" width="20.1171875" style="104" customWidth="1"/>
    <col min="4880" max="4881" width="2.64453125" style="104" customWidth="1"/>
    <col min="4882" max="5100" width="8.87890625" style="104"/>
    <col min="5101" max="5101" width="14.3515625" style="104" customWidth="1"/>
    <col min="5102" max="5102" width="21.87890625" style="104" customWidth="1"/>
    <col min="5103" max="5103" width="16" style="104" customWidth="1"/>
    <col min="5104" max="5104" width="54" style="104" customWidth="1"/>
    <col min="5105" max="5105" width="22.1171875" style="104" customWidth="1"/>
    <col min="5106" max="5106" width="21.46875" style="104" customWidth="1"/>
    <col min="5107" max="5107" width="17.87890625" style="104" customWidth="1"/>
    <col min="5108" max="5108" width="17" style="104" customWidth="1"/>
    <col min="5109" max="5110" width="28.1171875" style="104" customWidth="1"/>
    <col min="5111" max="5111" width="26.46875" style="104" customWidth="1"/>
    <col min="5112" max="5128" width="11.64453125" style="104" customWidth="1"/>
    <col min="5129" max="5129" width="16.3515625" style="104" customWidth="1"/>
    <col min="5130" max="5130" width="13.87890625" style="104" customWidth="1"/>
    <col min="5131" max="5134" width="11.64453125" style="104" customWidth="1"/>
    <col min="5135" max="5135" width="20.1171875" style="104" customWidth="1"/>
    <col min="5136" max="5137" width="2.64453125" style="104" customWidth="1"/>
    <col min="5138" max="5356" width="8.87890625" style="104"/>
    <col min="5357" max="5357" width="14.3515625" style="104" customWidth="1"/>
    <col min="5358" max="5358" width="21.87890625" style="104" customWidth="1"/>
    <col min="5359" max="5359" width="16" style="104" customWidth="1"/>
    <col min="5360" max="5360" width="54" style="104" customWidth="1"/>
    <col min="5361" max="5361" width="22.1171875" style="104" customWidth="1"/>
    <col min="5362" max="5362" width="21.46875" style="104" customWidth="1"/>
    <col min="5363" max="5363" width="17.87890625" style="104" customWidth="1"/>
    <col min="5364" max="5364" width="17" style="104" customWidth="1"/>
    <col min="5365" max="5366" width="28.1171875" style="104" customWidth="1"/>
    <col min="5367" max="5367" width="26.46875" style="104" customWidth="1"/>
    <col min="5368" max="5384" width="11.64453125" style="104" customWidth="1"/>
    <col min="5385" max="5385" width="16.3515625" style="104" customWidth="1"/>
    <col min="5386" max="5386" width="13.87890625" style="104" customWidth="1"/>
    <col min="5387" max="5390" width="11.64453125" style="104" customWidth="1"/>
    <col min="5391" max="5391" width="20.1171875" style="104" customWidth="1"/>
    <col min="5392" max="5393" width="2.64453125" style="104" customWidth="1"/>
    <col min="5394" max="5612" width="8.87890625" style="104"/>
    <col min="5613" max="5613" width="14.3515625" style="104" customWidth="1"/>
    <col min="5614" max="5614" width="21.87890625" style="104" customWidth="1"/>
    <col min="5615" max="5615" width="16" style="104" customWidth="1"/>
    <col min="5616" max="5616" width="54" style="104" customWidth="1"/>
    <col min="5617" max="5617" width="22.1171875" style="104" customWidth="1"/>
    <col min="5618" max="5618" width="21.46875" style="104" customWidth="1"/>
    <col min="5619" max="5619" width="17.87890625" style="104" customWidth="1"/>
    <col min="5620" max="5620" width="17" style="104" customWidth="1"/>
    <col min="5621" max="5622" width="28.1171875" style="104" customWidth="1"/>
    <col min="5623" max="5623" width="26.46875" style="104" customWidth="1"/>
    <col min="5624" max="5640" width="11.64453125" style="104" customWidth="1"/>
    <col min="5641" max="5641" width="16.3515625" style="104" customWidth="1"/>
    <col min="5642" max="5642" width="13.87890625" style="104" customWidth="1"/>
    <col min="5643" max="5646" width="11.64453125" style="104" customWidth="1"/>
    <col min="5647" max="5647" width="20.1171875" style="104" customWidth="1"/>
    <col min="5648" max="5649" width="2.64453125" style="104" customWidth="1"/>
    <col min="5650" max="5868" width="8.87890625" style="104"/>
    <col min="5869" max="5869" width="14.3515625" style="104" customWidth="1"/>
    <col min="5870" max="5870" width="21.87890625" style="104" customWidth="1"/>
    <col min="5871" max="5871" width="16" style="104" customWidth="1"/>
    <col min="5872" max="5872" width="54" style="104" customWidth="1"/>
    <col min="5873" max="5873" width="22.1171875" style="104" customWidth="1"/>
    <col min="5874" max="5874" width="21.46875" style="104" customWidth="1"/>
    <col min="5875" max="5875" width="17.87890625" style="104" customWidth="1"/>
    <col min="5876" max="5876" width="17" style="104" customWidth="1"/>
    <col min="5877" max="5878" width="28.1171875" style="104" customWidth="1"/>
    <col min="5879" max="5879" width="26.46875" style="104" customWidth="1"/>
    <col min="5880" max="5896" width="11.64453125" style="104" customWidth="1"/>
    <col min="5897" max="5897" width="16.3515625" style="104" customWidth="1"/>
    <col min="5898" max="5898" width="13.87890625" style="104" customWidth="1"/>
    <col min="5899" max="5902" width="11.64453125" style="104" customWidth="1"/>
    <col min="5903" max="5903" width="20.1171875" style="104" customWidth="1"/>
    <col min="5904" max="5905" width="2.64453125" style="104" customWidth="1"/>
    <col min="5906" max="6124" width="8.87890625" style="104"/>
    <col min="6125" max="6125" width="14.3515625" style="104" customWidth="1"/>
    <col min="6126" max="6126" width="21.87890625" style="104" customWidth="1"/>
    <col min="6127" max="6127" width="16" style="104" customWidth="1"/>
    <col min="6128" max="6128" width="54" style="104" customWidth="1"/>
    <col min="6129" max="6129" width="22.1171875" style="104" customWidth="1"/>
    <col min="6130" max="6130" width="21.46875" style="104" customWidth="1"/>
    <col min="6131" max="6131" width="17.87890625" style="104" customWidth="1"/>
    <col min="6132" max="6132" width="17" style="104" customWidth="1"/>
    <col min="6133" max="6134" width="28.1171875" style="104" customWidth="1"/>
    <col min="6135" max="6135" width="26.46875" style="104" customWidth="1"/>
    <col min="6136" max="6152" width="11.64453125" style="104" customWidth="1"/>
    <col min="6153" max="6153" width="16.3515625" style="104" customWidth="1"/>
    <col min="6154" max="6154" width="13.87890625" style="104" customWidth="1"/>
    <col min="6155" max="6158" width="11.64453125" style="104" customWidth="1"/>
    <col min="6159" max="6159" width="20.1171875" style="104" customWidth="1"/>
    <col min="6160" max="6161" width="2.64453125" style="104" customWidth="1"/>
    <col min="6162" max="6380" width="8.87890625" style="104"/>
    <col min="6381" max="6381" width="14.3515625" style="104" customWidth="1"/>
    <col min="6382" max="6382" width="21.87890625" style="104" customWidth="1"/>
    <col min="6383" max="6383" width="16" style="104" customWidth="1"/>
    <col min="6384" max="6384" width="54" style="104" customWidth="1"/>
    <col min="6385" max="6385" width="22.1171875" style="104" customWidth="1"/>
    <col min="6386" max="6386" width="21.46875" style="104" customWidth="1"/>
    <col min="6387" max="6387" width="17.87890625" style="104" customWidth="1"/>
    <col min="6388" max="6388" width="17" style="104" customWidth="1"/>
    <col min="6389" max="6390" width="28.1171875" style="104" customWidth="1"/>
    <col min="6391" max="6391" width="26.46875" style="104" customWidth="1"/>
    <col min="6392" max="6408" width="11.64453125" style="104" customWidth="1"/>
    <col min="6409" max="6409" width="16.3515625" style="104" customWidth="1"/>
    <col min="6410" max="6410" width="13.87890625" style="104" customWidth="1"/>
    <col min="6411" max="6414" width="11.64453125" style="104" customWidth="1"/>
    <col min="6415" max="6415" width="20.1171875" style="104" customWidth="1"/>
    <col min="6416" max="6417" width="2.64453125" style="104" customWidth="1"/>
    <col min="6418" max="6636" width="8.87890625" style="104"/>
    <col min="6637" max="6637" width="14.3515625" style="104" customWidth="1"/>
    <col min="6638" max="6638" width="21.87890625" style="104" customWidth="1"/>
    <col min="6639" max="6639" width="16" style="104" customWidth="1"/>
    <col min="6640" max="6640" width="54" style="104" customWidth="1"/>
    <col min="6641" max="6641" width="22.1171875" style="104" customWidth="1"/>
    <col min="6642" max="6642" width="21.46875" style="104" customWidth="1"/>
    <col min="6643" max="6643" width="17.87890625" style="104" customWidth="1"/>
    <col min="6644" max="6644" width="17" style="104" customWidth="1"/>
    <col min="6645" max="6646" width="28.1171875" style="104" customWidth="1"/>
    <col min="6647" max="6647" width="26.46875" style="104" customWidth="1"/>
    <col min="6648" max="6664" width="11.64453125" style="104" customWidth="1"/>
    <col min="6665" max="6665" width="16.3515625" style="104" customWidth="1"/>
    <col min="6666" max="6666" width="13.87890625" style="104" customWidth="1"/>
    <col min="6667" max="6670" width="11.64453125" style="104" customWidth="1"/>
    <col min="6671" max="6671" width="20.1171875" style="104" customWidth="1"/>
    <col min="6672" max="6673" width="2.64453125" style="104" customWidth="1"/>
    <col min="6674" max="6892" width="8.87890625" style="104"/>
    <col min="6893" max="6893" width="14.3515625" style="104" customWidth="1"/>
    <col min="6894" max="6894" width="21.87890625" style="104" customWidth="1"/>
    <col min="6895" max="6895" width="16" style="104" customWidth="1"/>
    <col min="6896" max="6896" width="54" style="104" customWidth="1"/>
    <col min="6897" max="6897" width="22.1171875" style="104" customWidth="1"/>
    <col min="6898" max="6898" width="21.46875" style="104" customWidth="1"/>
    <col min="6899" max="6899" width="17.87890625" style="104" customWidth="1"/>
    <col min="6900" max="6900" width="17" style="104" customWidth="1"/>
    <col min="6901" max="6902" width="28.1171875" style="104" customWidth="1"/>
    <col min="6903" max="6903" width="26.46875" style="104" customWidth="1"/>
    <col min="6904" max="6920" width="11.64453125" style="104" customWidth="1"/>
    <col min="6921" max="6921" width="16.3515625" style="104" customWidth="1"/>
    <col min="6922" max="6922" width="13.87890625" style="104" customWidth="1"/>
    <col min="6923" max="6926" width="11.64453125" style="104" customWidth="1"/>
    <col min="6927" max="6927" width="20.1171875" style="104" customWidth="1"/>
    <col min="6928" max="6929" width="2.64453125" style="104" customWidth="1"/>
    <col min="6930" max="7148" width="8.87890625" style="104"/>
    <col min="7149" max="7149" width="14.3515625" style="104" customWidth="1"/>
    <col min="7150" max="7150" width="21.87890625" style="104" customWidth="1"/>
    <col min="7151" max="7151" width="16" style="104" customWidth="1"/>
    <col min="7152" max="7152" width="54" style="104" customWidth="1"/>
    <col min="7153" max="7153" width="22.1171875" style="104" customWidth="1"/>
    <col min="7154" max="7154" width="21.46875" style="104" customWidth="1"/>
    <col min="7155" max="7155" width="17.87890625" style="104" customWidth="1"/>
    <col min="7156" max="7156" width="17" style="104" customWidth="1"/>
    <col min="7157" max="7158" width="28.1171875" style="104" customWidth="1"/>
    <col min="7159" max="7159" width="26.46875" style="104" customWidth="1"/>
    <col min="7160" max="7176" width="11.64453125" style="104" customWidth="1"/>
    <col min="7177" max="7177" width="16.3515625" style="104" customWidth="1"/>
    <col min="7178" max="7178" width="13.87890625" style="104" customWidth="1"/>
    <col min="7179" max="7182" width="11.64453125" style="104" customWidth="1"/>
    <col min="7183" max="7183" width="20.1171875" style="104" customWidth="1"/>
    <col min="7184" max="7185" width="2.64453125" style="104" customWidth="1"/>
    <col min="7186" max="7404" width="8.87890625" style="104"/>
    <col min="7405" max="7405" width="14.3515625" style="104" customWidth="1"/>
    <col min="7406" max="7406" width="21.87890625" style="104" customWidth="1"/>
    <col min="7407" max="7407" width="16" style="104" customWidth="1"/>
    <col min="7408" max="7408" width="54" style="104" customWidth="1"/>
    <col min="7409" max="7409" width="22.1171875" style="104" customWidth="1"/>
    <col min="7410" max="7410" width="21.46875" style="104" customWidth="1"/>
    <col min="7411" max="7411" width="17.87890625" style="104" customWidth="1"/>
    <col min="7412" max="7412" width="17" style="104" customWidth="1"/>
    <col min="7413" max="7414" width="28.1171875" style="104" customWidth="1"/>
    <col min="7415" max="7415" width="26.46875" style="104" customWidth="1"/>
    <col min="7416" max="7432" width="11.64453125" style="104" customWidth="1"/>
    <col min="7433" max="7433" width="16.3515625" style="104" customWidth="1"/>
    <col min="7434" max="7434" width="13.87890625" style="104" customWidth="1"/>
    <col min="7435" max="7438" width="11.64453125" style="104" customWidth="1"/>
    <col min="7439" max="7439" width="20.1171875" style="104" customWidth="1"/>
    <col min="7440" max="7441" width="2.64453125" style="104" customWidth="1"/>
    <col min="7442" max="7660" width="8.87890625" style="104"/>
    <col min="7661" max="7661" width="14.3515625" style="104" customWidth="1"/>
    <col min="7662" max="7662" width="21.87890625" style="104" customWidth="1"/>
    <col min="7663" max="7663" width="16" style="104" customWidth="1"/>
    <col min="7664" max="7664" width="54" style="104" customWidth="1"/>
    <col min="7665" max="7665" width="22.1171875" style="104" customWidth="1"/>
    <col min="7666" max="7666" width="21.46875" style="104" customWidth="1"/>
    <col min="7667" max="7667" width="17.87890625" style="104" customWidth="1"/>
    <col min="7668" max="7668" width="17" style="104" customWidth="1"/>
    <col min="7669" max="7670" width="28.1171875" style="104" customWidth="1"/>
    <col min="7671" max="7671" width="26.46875" style="104" customWidth="1"/>
    <col min="7672" max="7688" width="11.64453125" style="104" customWidth="1"/>
    <col min="7689" max="7689" width="16.3515625" style="104" customWidth="1"/>
    <col min="7690" max="7690" width="13.87890625" style="104" customWidth="1"/>
    <col min="7691" max="7694" width="11.64453125" style="104" customWidth="1"/>
    <col min="7695" max="7695" width="20.1171875" style="104" customWidth="1"/>
    <col min="7696" max="7697" width="2.64453125" style="104" customWidth="1"/>
    <col min="7698" max="7916" width="8.87890625" style="104"/>
    <col min="7917" max="7917" width="14.3515625" style="104" customWidth="1"/>
    <col min="7918" max="7918" width="21.87890625" style="104" customWidth="1"/>
    <col min="7919" max="7919" width="16" style="104" customWidth="1"/>
    <col min="7920" max="7920" width="54" style="104" customWidth="1"/>
    <col min="7921" max="7921" width="22.1171875" style="104" customWidth="1"/>
    <col min="7922" max="7922" width="21.46875" style="104" customWidth="1"/>
    <col min="7923" max="7923" width="17.87890625" style="104" customWidth="1"/>
    <col min="7924" max="7924" width="17" style="104" customWidth="1"/>
    <col min="7925" max="7926" width="28.1171875" style="104" customWidth="1"/>
    <col min="7927" max="7927" width="26.46875" style="104" customWidth="1"/>
    <col min="7928" max="7944" width="11.64453125" style="104" customWidth="1"/>
    <col min="7945" max="7945" width="16.3515625" style="104" customWidth="1"/>
    <col min="7946" max="7946" width="13.87890625" style="104" customWidth="1"/>
    <col min="7947" max="7950" width="11.64453125" style="104" customWidth="1"/>
    <col min="7951" max="7951" width="20.1171875" style="104" customWidth="1"/>
    <col min="7952" max="7953" width="2.64453125" style="104" customWidth="1"/>
    <col min="7954" max="8172" width="8.87890625" style="104"/>
    <col min="8173" max="8173" width="14.3515625" style="104" customWidth="1"/>
    <col min="8174" max="8174" width="21.87890625" style="104" customWidth="1"/>
    <col min="8175" max="8175" width="16" style="104" customWidth="1"/>
    <col min="8176" max="8176" width="54" style="104" customWidth="1"/>
    <col min="8177" max="8177" width="22.1171875" style="104" customWidth="1"/>
    <col min="8178" max="8178" width="21.46875" style="104" customWidth="1"/>
    <col min="8179" max="8179" width="17.87890625" style="104" customWidth="1"/>
    <col min="8180" max="8180" width="17" style="104" customWidth="1"/>
    <col min="8181" max="8182" width="28.1171875" style="104" customWidth="1"/>
    <col min="8183" max="8183" width="26.46875" style="104" customWidth="1"/>
    <col min="8184" max="8200" width="11.64453125" style="104" customWidth="1"/>
    <col min="8201" max="8201" width="16.3515625" style="104" customWidth="1"/>
    <col min="8202" max="8202" width="13.87890625" style="104" customWidth="1"/>
    <col min="8203" max="8206" width="11.64453125" style="104" customWidth="1"/>
    <col min="8207" max="8207" width="20.1171875" style="104" customWidth="1"/>
    <col min="8208" max="8209" width="2.64453125" style="104" customWidth="1"/>
    <col min="8210" max="8428" width="8.87890625" style="104"/>
    <col min="8429" max="8429" width="14.3515625" style="104" customWidth="1"/>
    <col min="8430" max="8430" width="21.87890625" style="104" customWidth="1"/>
    <col min="8431" max="8431" width="16" style="104" customWidth="1"/>
    <col min="8432" max="8432" width="54" style="104" customWidth="1"/>
    <col min="8433" max="8433" width="22.1171875" style="104" customWidth="1"/>
    <col min="8434" max="8434" width="21.46875" style="104" customWidth="1"/>
    <col min="8435" max="8435" width="17.87890625" style="104" customWidth="1"/>
    <col min="8436" max="8436" width="17" style="104" customWidth="1"/>
    <col min="8437" max="8438" width="28.1171875" style="104" customWidth="1"/>
    <col min="8439" max="8439" width="26.46875" style="104" customWidth="1"/>
    <col min="8440" max="8456" width="11.64453125" style="104" customWidth="1"/>
    <col min="8457" max="8457" width="16.3515625" style="104" customWidth="1"/>
    <col min="8458" max="8458" width="13.87890625" style="104" customWidth="1"/>
    <col min="8459" max="8462" width="11.64453125" style="104" customWidth="1"/>
    <col min="8463" max="8463" width="20.1171875" style="104" customWidth="1"/>
    <col min="8464" max="8465" width="2.64453125" style="104" customWidth="1"/>
    <col min="8466" max="8684" width="8.87890625" style="104"/>
    <col min="8685" max="8685" width="14.3515625" style="104" customWidth="1"/>
    <col min="8686" max="8686" width="21.87890625" style="104" customWidth="1"/>
    <col min="8687" max="8687" width="16" style="104" customWidth="1"/>
    <col min="8688" max="8688" width="54" style="104" customWidth="1"/>
    <col min="8689" max="8689" width="22.1171875" style="104" customWidth="1"/>
    <col min="8690" max="8690" width="21.46875" style="104" customWidth="1"/>
    <col min="8691" max="8691" width="17.87890625" style="104" customWidth="1"/>
    <col min="8692" max="8692" width="17" style="104" customWidth="1"/>
    <col min="8693" max="8694" width="28.1171875" style="104" customWidth="1"/>
    <col min="8695" max="8695" width="26.46875" style="104" customWidth="1"/>
    <col min="8696" max="8712" width="11.64453125" style="104" customWidth="1"/>
    <col min="8713" max="8713" width="16.3515625" style="104" customWidth="1"/>
    <col min="8714" max="8714" width="13.87890625" style="104" customWidth="1"/>
    <col min="8715" max="8718" width="11.64453125" style="104" customWidth="1"/>
    <col min="8719" max="8719" width="20.1171875" style="104" customWidth="1"/>
    <col min="8720" max="8721" width="2.64453125" style="104" customWidth="1"/>
    <col min="8722" max="8940" width="8.87890625" style="104"/>
    <col min="8941" max="8941" width="14.3515625" style="104" customWidth="1"/>
    <col min="8942" max="8942" width="21.87890625" style="104" customWidth="1"/>
    <col min="8943" max="8943" width="16" style="104" customWidth="1"/>
    <col min="8944" max="8944" width="54" style="104" customWidth="1"/>
    <col min="8945" max="8945" width="22.1171875" style="104" customWidth="1"/>
    <col min="8946" max="8946" width="21.46875" style="104" customWidth="1"/>
    <col min="8947" max="8947" width="17.87890625" style="104" customWidth="1"/>
    <col min="8948" max="8948" width="17" style="104" customWidth="1"/>
    <col min="8949" max="8950" width="28.1171875" style="104" customWidth="1"/>
    <col min="8951" max="8951" width="26.46875" style="104" customWidth="1"/>
    <col min="8952" max="8968" width="11.64453125" style="104" customWidth="1"/>
    <col min="8969" max="8969" width="16.3515625" style="104" customWidth="1"/>
    <col min="8970" max="8970" width="13.87890625" style="104" customWidth="1"/>
    <col min="8971" max="8974" width="11.64453125" style="104" customWidth="1"/>
    <col min="8975" max="8975" width="20.1171875" style="104" customWidth="1"/>
    <col min="8976" max="8977" width="2.64453125" style="104" customWidth="1"/>
    <col min="8978" max="9196" width="8.87890625" style="104"/>
    <col min="9197" max="9197" width="14.3515625" style="104" customWidth="1"/>
    <col min="9198" max="9198" width="21.87890625" style="104" customWidth="1"/>
    <col min="9199" max="9199" width="16" style="104" customWidth="1"/>
    <col min="9200" max="9200" width="54" style="104" customWidth="1"/>
    <col min="9201" max="9201" width="22.1171875" style="104" customWidth="1"/>
    <col min="9202" max="9202" width="21.46875" style="104" customWidth="1"/>
    <col min="9203" max="9203" width="17.87890625" style="104" customWidth="1"/>
    <col min="9204" max="9204" width="17" style="104" customWidth="1"/>
    <col min="9205" max="9206" width="28.1171875" style="104" customWidth="1"/>
    <col min="9207" max="9207" width="26.46875" style="104" customWidth="1"/>
    <col min="9208" max="9224" width="11.64453125" style="104" customWidth="1"/>
    <col min="9225" max="9225" width="16.3515625" style="104" customWidth="1"/>
    <col min="9226" max="9226" width="13.87890625" style="104" customWidth="1"/>
    <col min="9227" max="9230" width="11.64453125" style="104" customWidth="1"/>
    <col min="9231" max="9231" width="20.1171875" style="104" customWidth="1"/>
    <col min="9232" max="9233" width="2.64453125" style="104" customWidth="1"/>
    <col min="9234" max="9452" width="8.87890625" style="104"/>
    <col min="9453" max="9453" width="14.3515625" style="104" customWidth="1"/>
    <col min="9454" max="9454" width="21.87890625" style="104" customWidth="1"/>
    <col min="9455" max="9455" width="16" style="104" customWidth="1"/>
    <col min="9456" max="9456" width="54" style="104" customWidth="1"/>
    <col min="9457" max="9457" width="22.1171875" style="104" customWidth="1"/>
    <col min="9458" max="9458" width="21.46875" style="104" customWidth="1"/>
    <col min="9459" max="9459" width="17.87890625" style="104" customWidth="1"/>
    <col min="9460" max="9460" width="17" style="104" customWidth="1"/>
    <col min="9461" max="9462" width="28.1171875" style="104" customWidth="1"/>
    <col min="9463" max="9463" width="26.46875" style="104" customWidth="1"/>
    <col min="9464" max="9480" width="11.64453125" style="104" customWidth="1"/>
    <col min="9481" max="9481" width="16.3515625" style="104" customWidth="1"/>
    <col min="9482" max="9482" width="13.87890625" style="104" customWidth="1"/>
    <col min="9483" max="9486" width="11.64453125" style="104" customWidth="1"/>
    <col min="9487" max="9487" width="20.1171875" style="104" customWidth="1"/>
    <col min="9488" max="9489" width="2.64453125" style="104" customWidth="1"/>
    <col min="9490" max="9708" width="8.87890625" style="104"/>
    <col min="9709" max="9709" width="14.3515625" style="104" customWidth="1"/>
    <col min="9710" max="9710" width="21.87890625" style="104" customWidth="1"/>
    <col min="9711" max="9711" width="16" style="104" customWidth="1"/>
    <col min="9712" max="9712" width="54" style="104" customWidth="1"/>
    <col min="9713" max="9713" width="22.1171875" style="104" customWidth="1"/>
    <col min="9714" max="9714" width="21.46875" style="104" customWidth="1"/>
    <col min="9715" max="9715" width="17.87890625" style="104" customWidth="1"/>
    <col min="9716" max="9716" width="17" style="104" customWidth="1"/>
    <col min="9717" max="9718" width="28.1171875" style="104" customWidth="1"/>
    <col min="9719" max="9719" width="26.46875" style="104" customWidth="1"/>
    <col min="9720" max="9736" width="11.64453125" style="104" customWidth="1"/>
    <col min="9737" max="9737" width="16.3515625" style="104" customWidth="1"/>
    <col min="9738" max="9738" width="13.87890625" style="104" customWidth="1"/>
    <col min="9739" max="9742" width="11.64453125" style="104" customWidth="1"/>
    <col min="9743" max="9743" width="20.1171875" style="104" customWidth="1"/>
    <col min="9744" max="9745" width="2.64453125" style="104" customWidth="1"/>
    <col min="9746" max="9964" width="8.87890625" style="104"/>
    <col min="9965" max="9965" width="14.3515625" style="104" customWidth="1"/>
    <col min="9966" max="9966" width="21.87890625" style="104" customWidth="1"/>
    <col min="9967" max="9967" width="16" style="104" customWidth="1"/>
    <col min="9968" max="9968" width="54" style="104" customWidth="1"/>
    <col min="9969" max="9969" width="22.1171875" style="104" customWidth="1"/>
    <col min="9970" max="9970" width="21.46875" style="104" customWidth="1"/>
    <col min="9971" max="9971" width="17.87890625" style="104" customWidth="1"/>
    <col min="9972" max="9972" width="17" style="104" customWidth="1"/>
    <col min="9973" max="9974" width="28.1171875" style="104" customWidth="1"/>
    <col min="9975" max="9975" width="26.46875" style="104" customWidth="1"/>
    <col min="9976" max="9992" width="11.64453125" style="104" customWidth="1"/>
    <col min="9993" max="9993" width="16.3515625" style="104" customWidth="1"/>
    <col min="9994" max="9994" width="13.87890625" style="104" customWidth="1"/>
    <col min="9995" max="9998" width="11.64453125" style="104" customWidth="1"/>
    <col min="9999" max="9999" width="20.1171875" style="104" customWidth="1"/>
    <col min="10000" max="10001" width="2.64453125" style="104" customWidth="1"/>
    <col min="10002" max="10220" width="8.87890625" style="104"/>
    <col min="10221" max="10221" width="14.3515625" style="104" customWidth="1"/>
    <col min="10222" max="10222" width="21.87890625" style="104" customWidth="1"/>
    <col min="10223" max="10223" width="16" style="104" customWidth="1"/>
    <col min="10224" max="10224" width="54" style="104" customWidth="1"/>
    <col min="10225" max="10225" width="22.1171875" style="104" customWidth="1"/>
    <col min="10226" max="10226" width="21.46875" style="104" customWidth="1"/>
    <col min="10227" max="10227" width="17.87890625" style="104" customWidth="1"/>
    <col min="10228" max="10228" width="17" style="104" customWidth="1"/>
    <col min="10229" max="10230" width="28.1171875" style="104" customWidth="1"/>
    <col min="10231" max="10231" width="26.46875" style="104" customWidth="1"/>
    <col min="10232" max="10248" width="11.64453125" style="104" customWidth="1"/>
    <col min="10249" max="10249" width="16.3515625" style="104" customWidth="1"/>
    <col min="10250" max="10250" width="13.87890625" style="104" customWidth="1"/>
    <col min="10251" max="10254" width="11.64453125" style="104" customWidth="1"/>
    <col min="10255" max="10255" width="20.1171875" style="104" customWidth="1"/>
    <col min="10256" max="10257" width="2.64453125" style="104" customWidth="1"/>
    <col min="10258" max="10476" width="8.87890625" style="104"/>
    <col min="10477" max="10477" width="14.3515625" style="104" customWidth="1"/>
    <col min="10478" max="10478" width="21.87890625" style="104" customWidth="1"/>
    <col min="10479" max="10479" width="16" style="104" customWidth="1"/>
    <col min="10480" max="10480" width="54" style="104" customWidth="1"/>
    <col min="10481" max="10481" width="22.1171875" style="104" customWidth="1"/>
    <col min="10482" max="10482" width="21.46875" style="104" customWidth="1"/>
    <col min="10483" max="10483" width="17.87890625" style="104" customWidth="1"/>
    <col min="10484" max="10484" width="17" style="104" customWidth="1"/>
    <col min="10485" max="10486" width="28.1171875" style="104" customWidth="1"/>
    <col min="10487" max="10487" width="26.46875" style="104" customWidth="1"/>
    <col min="10488" max="10504" width="11.64453125" style="104" customWidth="1"/>
    <col min="10505" max="10505" width="16.3515625" style="104" customWidth="1"/>
    <col min="10506" max="10506" width="13.87890625" style="104" customWidth="1"/>
    <col min="10507" max="10510" width="11.64453125" style="104" customWidth="1"/>
    <col min="10511" max="10511" width="20.1171875" style="104" customWidth="1"/>
    <col min="10512" max="10513" width="2.64453125" style="104" customWidth="1"/>
    <col min="10514" max="10732" width="8.87890625" style="104"/>
    <col min="10733" max="10733" width="14.3515625" style="104" customWidth="1"/>
    <col min="10734" max="10734" width="21.87890625" style="104" customWidth="1"/>
    <col min="10735" max="10735" width="16" style="104" customWidth="1"/>
    <col min="10736" max="10736" width="54" style="104" customWidth="1"/>
    <col min="10737" max="10737" width="22.1171875" style="104" customWidth="1"/>
    <col min="10738" max="10738" width="21.46875" style="104" customWidth="1"/>
    <col min="10739" max="10739" width="17.87890625" style="104" customWidth="1"/>
    <col min="10740" max="10740" width="17" style="104" customWidth="1"/>
    <col min="10741" max="10742" width="28.1171875" style="104" customWidth="1"/>
    <col min="10743" max="10743" width="26.46875" style="104" customWidth="1"/>
    <col min="10744" max="10760" width="11.64453125" style="104" customWidth="1"/>
    <col min="10761" max="10761" width="16.3515625" style="104" customWidth="1"/>
    <col min="10762" max="10762" width="13.87890625" style="104" customWidth="1"/>
    <col min="10763" max="10766" width="11.64453125" style="104" customWidth="1"/>
    <col min="10767" max="10767" width="20.1171875" style="104" customWidth="1"/>
    <col min="10768" max="10769" width="2.64453125" style="104" customWidth="1"/>
    <col min="10770" max="10988" width="8.87890625" style="104"/>
    <col min="10989" max="10989" width="14.3515625" style="104" customWidth="1"/>
    <col min="10990" max="10990" width="21.87890625" style="104" customWidth="1"/>
    <col min="10991" max="10991" width="16" style="104" customWidth="1"/>
    <col min="10992" max="10992" width="54" style="104" customWidth="1"/>
    <col min="10993" max="10993" width="22.1171875" style="104" customWidth="1"/>
    <col min="10994" max="10994" width="21.46875" style="104" customWidth="1"/>
    <col min="10995" max="10995" width="17.87890625" style="104" customWidth="1"/>
    <col min="10996" max="10996" width="17" style="104" customWidth="1"/>
    <col min="10997" max="10998" width="28.1171875" style="104" customWidth="1"/>
    <col min="10999" max="10999" width="26.46875" style="104" customWidth="1"/>
    <col min="11000" max="11016" width="11.64453125" style="104" customWidth="1"/>
    <col min="11017" max="11017" width="16.3515625" style="104" customWidth="1"/>
    <col min="11018" max="11018" width="13.87890625" style="104" customWidth="1"/>
    <col min="11019" max="11022" width="11.64453125" style="104" customWidth="1"/>
    <col min="11023" max="11023" width="20.1171875" style="104" customWidth="1"/>
    <col min="11024" max="11025" width="2.64453125" style="104" customWidth="1"/>
    <col min="11026" max="11244" width="8.87890625" style="104"/>
    <col min="11245" max="11245" width="14.3515625" style="104" customWidth="1"/>
    <col min="11246" max="11246" width="21.87890625" style="104" customWidth="1"/>
    <col min="11247" max="11247" width="16" style="104" customWidth="1"/>
    <col min="11248" max="11248" width="54" style="104" customWidth="1"/>
    <col min="11249" max="11249" width="22.1171875" style="104" customWidth="1"/>
    <col min="11250" max="11250" width="21.46875" style="104" customWidth="1"/>
    <col min="11251" max="11251" width="17.87890625" style="104" customWidth="1"/>
    <col min="11252" max="11252" width="17" style="104" customWidth="1"/>
    <col min="11253" max="11254" width="28.1171875" style="104" customWidth="1"/>
    <col min="11255" max="11255" width="26.46875" style="104" customWidth="1"/>
    <col min="11256" max="11272" width="11.64453125" style="104" customWidth="1"/>
    <col min="11273" max="11273" width="16.3515625" style="104" customWidth="1"/>
    <col min="11274" max="11274" width="13.87890625" style="104" customWidth="1"/>
    <col min="11275" max="11278" width="11.64453125" style="104" customWidth="1"/>
    <col min="11279" max="11279" width="20.1171875" style="104" customWidth="1"/>
    <col min="11280" max="11281" width="2.64453125" style="104" customWidth="1"/>
    <col min="11282" max="11500" width="8.87890625" style="104"/>
    <col min="11501" max="11501" width="14.3515625" style="104" customWidth="1"/>
    <col min="11502" max="11502" width="21.87890625" style="104" customWidth="1"/>
    <col min="11503" max="11503" width="16" style="104" customWidth="1"/>
    <col min="11504" max="11504" width="54" style="104" customWidth="1"/>
    <col min="11505" max="11505" width="22.1171875" style="104" customWidth="1"/>
    <col min="11506" max="11506" width="21.46875" style="104" customWidth="1"/>
    <col min="11507" max="11507" width="17.87890625" style="104" customWidth="1"/>
    <col min="11508" max="11508" width="17" style="104" customWidth="1"/>
    <col min="11509" max="11510" width="28.1171875" style="104" customWidth="1"/>
    <col min="11511" max="11511" width="26.46875" style="104" customWidth="1"/>
    <col min="11512" max="11528" width="11.64453125" style="104" customWidth="1"/>
    <col min="11529" max="11529" width="16.3515625" style="104" customWidth="1"/>
    <col min="11530" max="11530" width="13.87890625" style="104" customWidth="1"/>
    <col min="11531" max="11534" width="11.64453125" style="104" customWidth="1"/>
    <col min="11535" max="11535" width="20.1171875" style="104" customWidth="1"/>
    <col min="11536" max="11537" width="2.64453125" style="104" customWidth="1"/>
    <col min="11538" max="11756" width="8.87890625" style="104"/>
    <col min="11757" max="11757" width="14.3515625" style="104" customWidth="1"/>
    <col min="11758" max="11758" width="21.87890625" style="104" customWidth="1"/>
    <col min="11759" max="11759" width="16" style="104" customWidth="1"/>
    <col min="11760" max="11760" width="54" style="104" customWidth="1"/>
    <col min="11761" max="11761" width="22.1171875" style="104" customWidth="1"/>
    <col min="11762" max="11762" width="21.46875" style="104" customWidth="1"/>
    <col min="11763" max="11763" width="17.87890625" style="104" customWidth="1"/>
    <col min="11764" max="11764" width="17" style="104" customWidth="1"/>
    <col min="11765" max="11766" width="28.1171875" style="104" customWidth="1"/>
    <col min="11767" max="11767" width="26.46875" style="104" customWidth="1"/>
    <col min="11768" max="11784" width="11.64453125" style="104" customWidth="1"/>
    <col min="11785" max="11785" width="16.3515625" style="104" customWidth="1"/>
    <col min="11786" max="11786" width="13.87890625" style="104" customWidth="1"/>
    <col min="11787" max="11790" width="11.64453125" style="104" customWidth="1"/>
    <col min="11791" max="11791" width="20.1171875" style="104" customWidth="1"/>
    <col min="11792" max="11793" width="2.64453125" style="104" customWidth="1"/>
    <col min="11794" max="12012" width="8.87890625" style="104"/>
    <col min="12013" max="12013" width="14.3515625" style="104" customWidth="1"/>
    <col min="12014" max="12014" width="21.87890625" style="104" customWidth="1"/>
    <col min="12015" max="12015" width="16" style="104" customWidth="1"/>
    <col min="12016" max="12016" width="54" style="104" customWidth="1"/>
    <col min="12017" max="12017" width="22.1171875" style="104" customWidth="1"/>
    <col min="12018" max="12018" width="21.46875" style="104" customWidth="1"/>
    <col min="12019" max="12019" width="17.87890625" style="104" customWidth="1"/>
    <col min="12020" max="12020" width="17" style="104" customWidth="1"/>
    <col min="12021" max="12022" width="28.1171875" style="104" customWidth="1"/>
    <col min="12023" max="12023" width="26.46875" style="104" customWidth="1"/>
    <col min="12024" max="12040" width="11.64453125" style="104" customWidth="1"/>
    <col min="12041" max="12041" width="16.3515625" style="104" customWidth="1"/>
    <col min="12042" max="12042" width="13.87890625" style="104" customWidth="1"/>
    <col min="12043" max="12046" width="11.64453125" style="104" customWidth="1"/>
    <col min="12047" max="12047" width="20.1171875" style="104" customWidth="1"/>
    <col min="12048" max="12049" width="2.64453125" style="104" customWidth="1"/>
    <col min="12050" max="12268" width="8.87890625" style="104"/>
    <col min="12269" max="12269" width="14.3515625" style="104" customWidth="1"/>
    <col min="12270" max="12270" width="21.87890625" style="104" customWidth="1"/>
    <col min="12271" max="12271" width="16" style="104" customWidth="1"/>
    <col min="12272" max="12272" width="54" style="104" customWidth="1"/>
    <col min="12273" max="12273" width="22.1171875" style="104" customWidth="1"/>
    <col min="12274" max="12274" width="21.46875" style="104" customWidth="1"/>
    <col min="12275" max="12275" width="17.87890625" style="104" customWidth="1"/>
    <col min="12276" max="12276" width="17" style="104" customWidth="1"/>
    <col min="12277" max="12278" width="28.1171875" style="104" customWidth="1"/>
    <col min="12279" max="12279" width="26.46875" style="104" customWidth="1"/>
    <col min="12280" max="12296" width="11.64453125" style="104" customWidth="1"/>
    <col min="12297" max="12297" width="16.3515625" style="104" customWidth="1"/>
    <col min="12298" max="12298" width="13.87890625" style="104" customWidth="1"/>
    <col min="12299" max="12302" width="11.64453125" style="104" customWidth="1"/>
    <col min="12303" max="12303" width="20.1171875" style="104" customWidth="1"/>
    <col min="12304" max="12305" width="2.64453125" style="104" customWidth="1"/>
    <col min="12306" max="12524" width="8.87890625" style="104"/>
    <col min="12525" max="12525" width="14.3515625" style="104" customWidth="1"/>
    <col min="12526" max="12526" width="21.87890625" style="104" customWidth="1"/>
    <col min="12527" max="12527" width="16" style="104" customWidth="1"/>
    <col min="12528" max="12528" width="54" style="104" customWidth="1"/>
    <col min="12529" max="12529" width="22.1171875" style="104" customWidth="1"/>
    <col min="12530" max="12530" width="21.46875" style="104" customWidth="1"/>
    <col min="12531" max="12531" width="17.87890625" style="104" customWidth="1"/>
    <col min="12532" max="12532" width="17" style="104" customWidth="1"/>
    <col min="12533" max="12534" width="28.1171875" style="104" customWidth="1"/>
    <col min="12535" max="12535" width="26.46875" style="104" customWidth="1"/>
    <col min="12536" max="12552" width="11.64453125" style="104" customWidth="1"/>
    <col min="12553" max="12553" width="16.3515625" style="104" customWidth="1"/>
    <col min="12554" max="12554" width="13.87890625" style="104" customWidth="1"/>
    <col min="12555" max="12558" width="11.64453125" style="104" customWidth="1"/>
    <col min="12559" max="12559" width="20.1171875" style="104" customWidth="1"/>
    <col min="12560" max="12561" width="2.64453125" style="104" customWidth="1"/>
    <col min="12562" max="12780" width="8.87890625" style="104"/>
    <col min="12781" max="12781" width="14.3515625" style="104" customWidth="1"/>
    <col min="12782" max="12782" width="21.87890625" style="104" customWidth="1"/>
    <col min="12783" max="12783" width="16" style="104" customWidth="1"/>
    <col min="12784" max="12784" width="54" style="104" customWidth="1"/>
    <col min="12785" max="12785" width="22.1171875" style="104" customWidth="1"/>
    <col min="12786" max="12786" width="21.46875" style="104" customWidth="1"/>
    <col min="12787" max="12787" width="17.87890625" style="104" customWidth="1"/>
    <col min="12788" max="12788" width="17" style="104" customWidth="1"/>
    <col min="12789" max="12790" width="28.1171875" style="104" customWidth="1"/>
    <col min="12791" max="12791" width="26.46875" style="104" customWidth="1"/>
    <col min="12792" max="12808" width="11.64453125" style="104" customWidth="1"/>
    <col min="12809" max="12809" width="16.3515625" style="104" customWidth="1"/>
    <col min="12810" max="12810" width="13.87890625" style="104" customWidth="1"/>
    <col min="12811" max="12814" width="11.64453125" style="104" customWidth="1"/>
    <col min="12815" max="12815" width="20.1171875" style="104" customWidth="1"/>
    <col min="12816" max="12817" width="2.64453125" style="104" customWidth="1"/>
    <col min="12818" max="13036" width="8.87890625" style="104"/>
    <col min="13037" max="13037" width="14.3515625" style="104" customWidth="1"/>
    <col min="13038" max="13038" width="21.87890625" style="104" customWidth="1"/>
    <col min="13039" max="13039" width="16" style="104" customWidth="1"/>
    <col min="13040" max="13040" width="54" style="104" customWidth="1"/>
    <col min="13041" max="13041" width="22.1171875" style="104" customWidth="1"/>
    <col min="13042" max="13042" width="21.46875" style="104" customWidth="1"/>
    <col min="13043" max="13043" width="17.87890625" style="104" customWidth="1"/>
    <col min="13044" max="13044" width="17" style="104" customWidth="1"/>
    <col min="13045" max="13046" width="28.1171875" style="104" customWidth="1"/>
    <col min="13047" max="13047" width="26.46875" style="104" customWidth="1"/>
    <col min="13048" max="13064" width="11.64453125" style="104" customWidth="1"/>
    <col min="13065" max="13065" width="16.3515625" style="104" customWidth="1"/>
    <col min="13066" max="13066" width="13.87890625" style="104" customWidth="1"/>
    <col min="13067" max="13070" width="11.64453125" style="104" customWidth="1"/>
    <col min="13071" max="13071" width="20.1171875" style="104" customWidth="1"/>
    <col min="13072" max="13073" width="2.64453125" style="104" customWidth="1"/>
    <col min="13074" max="13292" width="8.87890625" style="104"/>
    <col min="13293" max="13293" width="14.3515625" style="104" customWidth="1"/>
    <col min="13294" max="13294" width="21.87890625" style="104" customWidth="1"/>
    <col min="13295" max="13295" width="16" style="104" customWidth="1"/>
    <col min="13296" max="13296" width="54" style="104" customWidth="1"/>
    <col min="13297" max="13297" width="22.1171875" style="104" customWidth="1"/>
    <col min="13298" max="13298" width="21.46875" style="104" customWidth="1"/>
    <col min="13299" max="13299" width="17.87890625" style="104" customWidth="1"/>
    <col min="13300" max="13300" width="17" style="104" customWidth="1"/>
    <col min="13301" max="13302" width="28.1171875" style="104" customWidth="1"/>
    <col min="13303" max="13303" width="26.46875" style="104" customWidth="1"/>
    <col min="13304" max="13320" width="11.64453125" style="104" customWidth="1"/>
    <col min="13321" max="13321" width="16.3515625" style="104" customWidth="1"/>
    <col min="13322" max="13322" width="13.87890625" style="104" customWidth="1"/>
    <col min="13323" max="13326" width="11.64453125" style="104" customWidth="1"/>
    <col min="13327" max="13327" width="20.1171875" style="104" customWidth="1"/>
    <col min="13328" max="13329" width="2.64453125" style="104" customWidth="1"/>
    <col min="13330" max="13548" width="8.87890625" style="104"/>
    <col min="13549" max="13549" width="14.3515625" style="104" customWidth="1"/>
    <col min="13550" max="13550" width="21.87890625" style="104" customWidth="1"/>
    <col min="13551" max="13551" width="16" style="104" customWidth="1"/>
    <col min="13552" max="13552" width="54" style="104" customWidth="1"/>
    <col min="13553" max="13553" width="22.1171875" style="104" customWidth="1"/>
    <col min="13554" max="13554" width="21.46875" style="104" customWidth="1"/>
    <col min="13555" max="13555" width="17.87890625" style="104" customWidth="1"/>
    <col min="13556" max="13556" width="17" style="104" customWidth="1"/>
    <col min="13557" max="13558" width="28.1171875" style="104" customWidth="1"/>
    <col min="13559" max="13559" width="26.46875" style="104" customWidth="1"/>
    <col min="13560" max="13576" width="11.64453125" style="104" customWidth="1"/>
    <col min="13577" max="13577" width="16.3515625" style="104" customWidth="1"/>
    <col min="13578" max="13578" width="13.87890625" style="104" customWidth="1"/>
    <col min="13579" max="13582" width="11.64453125" style="104" customWidth="1"/>
    <col min="13583" max="13583" width="20.1171875" style="104" customWidth="1"/>
    <col min="13584" max="13585" width="2.64453125" style="104" customWidth="1"/>
    <col min="13586" max="13804" width="8.87890625" style="104"/>
    <col min="13805" max="13805" width="14.3515625" style="104" customWidth="1"/>
    <col min="13806" max="13806" width="21.87890625" style="104" customWidth="1"/>
    <col min="13807" max="13807" width="16" style="104" customWidth="1"/>
    <col min="13808" max="13808" width="54" style="104" customWidth="1"/>
    <col min="13809" max="13809" width="22.1171875" style="104" customWidth="1"/>
    <col min="13810" max="13810" width="21.46875" style="104" customWidth="1"/>
    <col min="13811" max="13811" width="17.87890625" style="104" customWidth="1"/>
    <col min="13812" max="13812" width="17" style="104" customWidth="1"/>
    <col min="13813" max="13814" width="28.1171875" style="104" customWidth="1"/>
    <col min="13815" max="13815" width="26.46875" style="104" customWidth="1"/>
    <col min="13816" max="13832" width="11.64453125" style="104" customWidth="1"/>
    <col min="13833" max="13833" width="16.3515625" style="104" customWidth="1"/>
    <col min="13834" max="13834" width="13.87890625" style="104" customWidth="1"/>
    <col min="13835" max="13838" width="11.64453125" style="104" customWidth="1"/>
    <col min="13839" max="13839" width="20.1171875" style="104" customWidth="1"/>
    <col min="13840" max="13841" width="2.64453125" style="104" customWidth="1"/>
    <col min="13842" max="14060" width="8.87890625" style="104"/>
    <col min="14061" max="14061" width="14.3515625" style="104" customWidth="1"/>
    <col min="14062" max="14062" width="21.87890625" style="104" customWidth="1"/>
    <col min="14063" max="14063" width="16" style="104" customWidth="1"/>
    <col min="14064" max="14064" width="54" style="104" customWidth="1"/>
    <col min="14065" max="14065" width="22.1171875" style="104" customWidth="1"/>
    <col min="14066" max="14066" width="21.46875" style="104" customWidth="1"/>
    <col min="14067" max="14067" width="17.87890625" style="104" customWidth="1"/>
    <col min="14068" max="14068" width="17" style="104" customWidth="1"/>
    <col min="14069" max="14070" width="28.1171875" style="104" customWidth="1"/>
    <col min="14071" max="14071" width="26.46875" style="104" customWidth="1"/>
    <col min="14072" max="14088" width="11.64453125" style="104" customWidth="1"/>
    <col min="14089" max="14089" width="16.3515625" style="104" customWidth="1"/>
    <col min="14090" max="14090" width="13.87890625" style="104" customWidth="1"/>
    <col min="14091" max="14094" width="11.64453125" style="104" customWidth="1"/>
    <col min="14095" max="14095" width="20.1171875" style="104" customWidth="1"/>
    <col min="14096" max="14097" width="2.64453125" style="104" customWidth="1"/>
    <col min="14098" max="14316" width="8.87890625" style="104"/>
    <col min="14317" max="14317" width="14.3515625" style="104" customWidth="1"/>
    <col min="14318" max="14318" width="21.87890625" style="104" customWidth="1"/>
    <col min="14319" max="14319" width="16" style="104" customWidth="1"/>
    <col min="14320" max="14320" width="54" style="104" customWidth="1"/>
    <col min="14321" max="14321" width="22.1171875" style="104" customWidth="1"/>
    <col min="14322" max="14322" width="21.46875" style="104" customWidth="1"/>
    <col min="14323" max="14323" width="17.87890625" style="104" customWidth="1"/>
    <col min="14324" max="14324" width="17" style="104" customWidth="1"/>
    <col min="14325" max="14326" width="28.1171875" style="104" customWidth="1"/>
    <col min="14327" max="14327" width="26.46875" style="104" customWidth="1"/>
    <col min="14328" max="14344" width="11.64453125" style="104" customWidth="1"/>
    <col min="14345" max="14345" width="16.3515625" style="104" customWidth="1"/>
    <col min="14346" max="14346" width="13.87890625" style="104" customWidth="1"/>
    <col min="14347" max="14350" width="11.64453125" style="104" customWidth="1"/>
    <col min="14351" max="14351" width="20.1171875" style="104" customWidth="1"/>
    <col min="14352" max="14353" width="2.64453125" style="104" customWidth="1"/>
    <col min="14354" max="14572" width="8.87890625" style="104"/>
    <col min="14573" max="14573" width="14.3515625" style="104" customWidth="1"/>
    <col min="14574" max="14574" width="21.87890625" style="104" customWidth="1"/>
    <col min="14575" max="14575" width="16" style="104" customWidth="1"/>
    <col min="14576" max="14576" width="54" style="104" customWidth="1"/>
    <col min="14577" max="14577" width="22.1171875" style="104" customWidth="1"/>
    <col min="14578" max="14578" width="21.46875" style="104" customWidth="1"/>
    <col min="14579" max="14579" width="17.87890625" style="104" customWidth="1"/>
    <col min="14580" max="14580" width="17" style="104" customWidth="1"/>
    <col min="14581" max="14582" width="28.1171875" style="104" customWidth="1"/>
    <col min="14583" max="14583" width="26.46875" style="104" customWidth="1"/>
    <col min="14584" max="14600" width="11.64453125" style="104" customWidth="1"/>
    <col min="14601" max="14601" width="16.3515625" style="104" customWidth="1"/>
    <col min="14602" max="14602" width="13.87890625" style="104" customWidth="1"/>
    <col min="14603" max="14606" width="11.64453125" style="104" customWidth="1"/>
    <col min="14607" max="14607" width="20.1171875" style="104" customWidth="1"/>
    <col min="14608" max="14609" width="2.64453125" style="104" customWidth="1"/>
    <col min="14610" max="14828" width="8.87890625" style="104"/>
    <col min="14829" max="14829" width="14.3515625" style="104" customWidth="1"/>
    <col min="14830" max="14830" width="21.87890625" style="104" customWidth="1"/>
    <col min="14831" max="14831" width="16" style="104" customWidth="1"/>
    <col min="14832" max="14832" width="54" style="104" customWidth="1"/>
    <col min="14833" max="14833" width="22.1171875" style="104" customWidth="1"/>
    <col min="14834" max="14834" width="21.46875" style="104" customWidth="1"/>
    <col min="14835" max="14835" width="17.87890625" style="104" customWidth="1"/>
    <col min="14836" max="14836" width="17" style="104" customWidth="1"/>
    <col min="14837" max="14838" width="28.1171875" style="104" customWidth="1"/>
    <col min="14839" max="14839" width="26.46875" style="104" customWidth="1"/>
    <col min="14840" max="14856" width="11.64453125" style="104" customWidth="1"/>
    <col min="14857" max="14857" width="16.3515625" style="104" customWidth="1"/>
    <col min="14858" max="14858" width="13.87890625" style="104" customWidth="1"/>
    <col min="14859" max="14862" width="11.64453125" style="104" customWidth="1"/>
    <col min="14863" max="14863" width="20.1171875" style="104" customWidth="1"/>
    <col min="14864" max="14865" width="2.64453125" style="104" customWidth="1"/>
    <col min="14866" max="15084" width="8.87890625" style="104"/>
    <col min="15085" max="15085" width="14.3515625" style="104" customWidth="1"/>
    <col min="15086" max="15086" width="21.87890625" style="104" customWidth="1"/>
    <col min="15087" max="15087" width="16" style="104" customWidth="1"/>
    <col min="15088" max="15088" width="54" style="104" customWidth="1"/>
    <col min="15089" max="15089" width="22.1171875" style="104" customWidth="1"/>
    <col min="15090" max="15090" width="21.46875" style="104" customWidth="1"/>
    <col min="15091" max="15091" width="17.87890625" style="104" customWidth="1"/>
    <col min="15092" max="15092" width="17" style="104" customWidth="1"/>
    <col min="15093" max="15094" width="28.1171875" style="104" customWidth="1"/>
    <col min="15095" max="15095" width="26.46875" style="104" customWidth="1"/>
    <col min="15096" max="15112" width="11.64453125" style="104" customWidth="1"/>
    <col min="15113" max="15113" width="16.3515625" style="104" customWidth="1"/>
    <col min="15114" max="15114" width="13.87890625" style="104" customWidth="1"/>
    <col min="15115" max="15118" width="11.64453125" style="104" customWidth="1"/>
    <col min="15119" max="15119" width="20.1171875" style="104" customWidth="1"/>
    <col min="15120" max="15121" width="2.64453125" style="104" customWidth="1"/>
    <col min="15122" max="15340" width="8.87890625" style="104"/>
    <col min="15341" max="15341" width="14.3515625" style="104" customWidth="1"/>
    <col min="15342" max="15342" width="21.87890625" style="104" customWidth="1"/>
    <col min="15343" max="15343" width="16" style="104" customWidth="1"/>
    <col min="15344" max="15344" width="54" style="104" customWidth="1"/>
    <col min="15345" max="15345" width="22.1171875" style="104" customWidth="1"/>
    <col min="15346" max="15346" width="21.46875" style="104" customWidth="1"/>
    <col min="15347" max="15347" width="17.87890625" style="104" customWidth="1"/>
    <col min="15348" max="15348" width="17" style="104" customWidth="1"/>
    <col min="15349" max="15350" width="28.1171875" style="104" customWidth="1"/>
    <col min="15351" max="15351" width="26.46875" style="104" customWidth="1"/>
    <col min="15352" max="15368" width="11.64453125" style="104" customWidth="1"/>
    <col min="15369" max="15369" width="16.3515625" style="104" customWidth="1"/>
    <col min="15370" max="15370" width="13.87890625" style="104" customWidth="1"/>
    <col min="15371" max="15374" width="11.64453125" style="104" customWidth="1"/>
    <col min="15375" max="15375" width="20.1171875" style="104" customWidth="1"/>
    <col min="15376" max="15377" width="2.64453125" style="104" customWidth="1"/>
    <col min="15378" max="15596" width="8.87890625" style="104"/>
    <col min="15597" max="15597" width="14.3515625" style="104" customWidth="1"/>
    <col min="15598" max="15598" width="21.87890625" style="104" customWidth="1"/>
    <col min="15599" max="15599" width="16" style="104" customWidth="1"/>
    <col min="15600" max="15600" width="54" style="104" customWidth="1"/>
    <col min="15601" max="15601" width="22.1171875" style="104" customWidth="1"/>
    <col min="15602" max="15602" width="21.46875" style="104" customWidth="1"/>
    <col min="15603" max="15603" width="17.87890625" style="104" customWidth="1"/>
    <col min="15604" max="15604" width="17" style="104" customWidth="1"/>
    <col min="15605" max="15606" width="28.1171875" style="104" customWidth="1"/>
    <col min="15607" max="15607" width="26.46875" style="104" customWidth="1"/>
    <col min="15608" max="15624" width="11.64453125" style="104" customWidth="1"/>
    <col min="15625" max="15625" width="16.3515625" style="104" customWidth="1"/>
    <col min="15626" max="15626" width="13.87890625" style="104" customWidth="1"/>
    <col min="15627" max="15630" width="11.64453125" style="104" customWidth="1"/>
    <col min="15631" max="15631" width="20.1171875" style="104" customWidth="1"/>
    <col min="15632" max="15633" width="2.64453125" style="104" customWidth="1"/>
    <col min="15634" max="15852" width="8.87890625" style="104"/>
    <col min="15853" max="15853" width="14.3515625" style="104" customWidth="1"/>
    <col min="15854" max="15854" width="21.87890625" style="104" customWidth="1"/>
    <col min="15855" max="15855" width="16" style="104" customWidth="1"/>
    <col min="15856" max="15856" width="54" style="104" customWidth="1"/>
    <col min="15857" max="15857" width="22.1171875" style="104" customWidth="1"/>
    <col min="15858" max="15858" width="21.46875" style="104" customWidth="1"/>
    <col min="15859" max="15859" width="17.87890625" style="104" customWidth="1"/>
    <col min="15860" max="15860" width="17" style="104" customWidth="1"/>
    <col min="15861" max="15862" width="28.1171875" style="104" customWidth="1"/>
    <col min="15863" max="15863" width="26.46875" style="104" customWidth="1"/>
    <col min="15864" max="15880" width="11.64453125" style="104" customWidth="1"/>
    <col min="15881" max="15881" width="16.3515625" style="104" customWidth="1"/>
    <col min="15882" max="15882" width="13.87890625" style="104" customWidth="1"/>
    <col min="15883" max="15886" width="11.64453125" style="104" customWidth="1"/>
    <col min="15887" max="15887" width="20.1171875" style="104" customWidth="1"/>
    <col min="15888" max="15889" width="2.64453125" style="104" customWidth="1"/>
    <col min="15890" max="16108" width="8.87890625" style="104"/>
    <col min="16109" max="16109" width="14.3515625" style="104" customWidth="1"/>
    <col min="16110" max="16110" width="21.87890625" style="104" customWidth="1"/>
    <col min="16111" max="16111" width="16" style="104" customWidth="1"/>
    <col min="16112" max="16112" width="54" style="104" customWidth="1"/>
    <col min="16113" max="16113" width="22.1171875" style="104" customWidth="1"/>
    <col min="16114" max="16114" width="21.46875" style="104" customWidth="1"/>
    <col min="16115" max="16115" width="17.87890625" style="104" customWidth="1"/>
    <col min="16116" max="16116" width="17" style="104" customWidth="1"/>
    <col min="16117" max="16118" width="28.1171875" style="104" customWidth="1"/>
    <col min="16119" max="16119" width="26.46875" style="104" customWidth="1"/>
    <col min="16120" max="16136" width="11.64453125" style="104" customWidth="1"/>
    <col min="16137" max="16137" width="16.3515625" style="104" customWidth="1"/>
    <col min="16138" max="16138" width="13.87890625" style="104" customWidth="1"/>
    <col min="16139" max="16142" width="11.64453125" style="104" customWidth="1"/>
    <col min="16143" max="16143" width="20.1171875" style="104" customWidth="1"/>
    <col min="16144" max="16145" width="2.64453125" style="104" customWidth="1"/>
    <col min="16146" max="16384" width="8.87890625" style="104"/>
  </cols>
  <sheetData>
    <row r="1" spans="1:46" s="7" customFormat="1" ht="39.950000000000003" customHeight="1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46" s="7" customFormat="1" ht="39.950000000000003" customHeight="1">
      <c r="A2" s="1" t="s">
        <v>2</v>
      </c>
      <c r="B2" s="8"/>
      <c r="C2" s="9" t="s">
        <v>3</v>
      </c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46" s="7" customFormat="1" ht="39.950000000000003" customHeight="1">
      <c r="A3" s="1" t="s">
        <v>4</v>
      </c>
      <c r="B3" s="8"/>
      <c r="C3" s="9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46" s="7" customFormat="1" ht="39.950000000000003" customHeight="1">
      <c r="A4" s="1" t="s">
        <v>5</v>
      </c>
      <c r="B4" s="8"/>
      <c r="C4" s="3" t="s">
        <v>6</v>
      </c>
      <c r="D4" s="4"/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46" s="7" customFormat="1" ht="39.950000000000003" customHeight="1">
      <c r="A5" s="1" t="s">
        <v>7</v>
      </c>
      <c r="B5" s="8"/>
      <c r="C5" s="9"/>
      <c r="D5" s="4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46" s="7" customFormat="1" ht="39.950000000000003" customHeight="1">
      <c r="A6" s="1" t="s">
        <v>8</v>
      </c>
      <c r="B6" s="8"/>
      <c r="C6" s="9" t="s">
        <v>9</v>
      </c>
      <c r="D6" s="4"/>
      <c r="E6" s="4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46" s="16" customFormat="1" ht="39.950000000000003" customHeight="1" thickBot="1">
      <c r="A7" s="11"/>
      <c r="B7" s="11"/>
      <c r="C7" s="11"/>
      <c r="D7" s="12"/>
      <c r="E7" s="12"/>
      <c r="F7" s="12"/>
      <c r="G7" s="12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46" s="26" customFormat="1" ht="41.85" customHeight="1" thickBot="1">
      <c r="A8" s="17" t="s">
        <v>10</v>
      </c>
      <c r="B8" s="18" t="s">
        <v>11</v>
      </c>
      <c r="C8" s="18" t="s">
        <v>12</v>
      </c>
      <c r="D8" s="19" t="s">
        <v>13</v>
      </c>
      <c r="E8" s="18" t="s">
        <v>14</v>
      </c>
      <c r="F8" s="18" t="s">
        <v>15</v>
      </c>
      <c r="G8" s="20" t="s">
        <v>16</v>
      </c>
      <c r="H8" s="21" t="s">
        <v>17</v>
      </c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 t="s">
        <v>18</v>
      </c>
      <c r="V8" s="23"/>
      <c r="W8" s="24"/>
      <c r="X8" s="24"/>
      <c r="Y8" s="24" t="s">
        <v>18</v>
      </c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/>
    </row>
    <row r="9" spans="1:46" s="26" customFormat="1" ht="41.85" customHeight="1">
      <c r="A9" s="27"/>
      <c r="B9" s="28"/>
      <c r="C9" s="28"/>
      <c r="D9" s="29"/>
      <c r="E9" s="28"/>
      <c r="F9" s="28"/>
      <c r="G9" s="30"/>
      <c r="H9" s="31"/>
      <c r="I9" s="32">
        <v>1</v>
      </c>
      <c r="J9" s="33">
        <v>2</v>
      </c>
      <c r="K9" s="33">
        <v>3</v>
      </c>
      <c r="L9" s="33">
        <v>4</v>
      </c>
      <c r="M9" s="33">
        <v>5</v>
      </c>
      <c r="N9" s="33">
        <v>6</v>
      </c>
      <c r="O9" s="33">
        <v>7</v>
      </c>
      <c r="P9" s="33">
        <v>8</v>
      </c>
      <c r="Q9" s="33">
        <v>9</v>
      </c>
      <c r="R9" s="33">
        <v>10</v>
      </c>
      <c r="S9" s="33">
        <v>11</v>
      </c>
      <c r="T9" s="33">
        <v>12</v>
      </c>
      <c r="U9" s="34">
        <v>46216</v>
      </c>
      <c r="V9" s="35">
        <f>U9+1</f>
        <v>46217</v>
      </c>
      <c r="W9" s="35">
        <f t="shared" ref="W9:AL9" si="0">V9+1</f>
        <v>46218</v>
      </c>
      <c r="X9" s="35">
        <f t="shared" si="0"/>
        <v>46219</v>
      </c>
      <c r="Y9" s="35">
        <f>X9+1</f>
        <v>46220</v>
      </c>
      <c r="Z9" s="35">
        <f t="shared" si="0"/>
        <v>46221</v>
      </c>
      <c r="AA9" s="35">
        <f t="shared" si="0"/>
        <v>46222</v>
      </c>
      <c r="AB9" s="35">
        <f t="shared" si="0"/>
        <v>46223</v>
      </c>
      <c r="AC9" s="35">
        <f t="shared" si="0"/>
        <v>46224</v>
      </c>
      <c r="AD9" s="35">
        <f t="shared" si="0"/>
        <v>46225</v>
      </c>
      <c r="AE9" s="35">
        <f t="shared" si="0"/>
        <v>46226</v>
      </c>
      <c r="AF9" s="35">
        <f t="shared" si="0"/>
        <v>46227</v>
      </c>
      <c r="AG9" s="35">
        <f t="shared" si="0"/>
        <v>46228</v>
      </c>
      <c r="AH9" s="35">
        <f t="shared" si="0"/>
        <v>46229</v>
      </c>
      <c r="AI9" s="35">
        <f t="shared" si="0"/>
        <v>46230</v>
      </c>
      <c r="AJ9" s="35">
        <f t="shared" si="0"/>
        <v>46231</v>
      </c>
      <c r="AK9" s="35">
        <f t="shared" si="0"/>
        <v>46232</v>
      </c>
      <c r="AL9" s="36">
        <f t="shared" si="0"/>
        <v>46233</v>
      </c>
    </row>
    <row r="10" spans="1:46" s="26" customFormat="1" ht="41.85" customHeight="1" thickBot="1">
      <c r="A10" s="37"/>
      <c r="B10" s="38"/>
      <c r="C10" s="38"/>
      <c r="D10" s="39"/>
      <c r="E10" s="38"/>
      <c r="F10" s="38"/>
      <c r="G10" s="40"/>
      <c r="H10" s="41"/>
      <c r="I10" s="42" t="s">
        <v>19</v>
      </c>
      <c r="J10" s="43" t="s">
        <v>20</v>
      </c>
      <c r="K10" s="43" t="s">
        <v>21</v>
      </c>
      <c r="L10" s="44" t="s">
        <v>22</v>
      </c>
      <c r="M10" s="44" t="s">
        <v>23</v>
      </c>
      <c r="N10" s="43" t="s">
        <v>24</v>
      </c>
      <c r="O10" s="43" t="s">
        <v>25</v>
      </c>
      <c r="P10" s="43" t="s">
        <v>26</v>
      </c>
      <c r="Q10" s="43" t="s">
        <v>20</v>
      </c>
      <c r="R10" s="43" t="s">
        <v>21</v>
      </c>
      <c r="S10" s="44" t="s">
        <v>22</v>
      </c>
      <c r="T10" s="44" t="s">
        <v>23</v>
      </c>
      <c r="U10" s="45" t="str">
        <f>MID("日一二三四五六",WEEKDAY(U9,1),1)</f>
        <v>一</v>
      </c>
      <c r="V10" s="46" t="str">
        <f t="shared" ref="V10:AL10" si="1">MID("日一二三四五六",WEEKDAY(V9,1),1)</f>
        <v>二</v>
      </c>
      <c r="W10" s="46" t="str">
        <f t="shared" si="1"/>
        <v>三</v>
      </c>
      <c r="X10" s="46" t="str">
        <f t="shared" si="1"/>
        <v>四</v>
      </c>
      <c r="Y10" s="45" t="str">
        <f>MID("日一二三四五六",WEEKDAY(Y9,1),1)</f>
        <v>五</v>
      </c>
      <c r="Z10" s="46" t="str">
        <f t="shared" si="1"/>
        <v>六</v>
      </c>
      <c r="AA10" s="46" t="str">
        <f t="shared" si="1"/>
        <v>日</v>
      </c>
      <c r="AB10" s="46" t="str">
        <f t="shared" si="1"/>
        <v>一</v>
      </c>
      <c r="AC10" s="46" t="str">
        <f t="shared" si="1"/>
        <v>二</v>
      </c>
      <c r="AD10" s="46" t="str">
        <f t="shared" si="1"/>
        <v>三</v>
      </c>
      <c r="AE10" s="46" t="str">
        <f t="shared" si="1"/>
        <v>四</v>
      </c>
      <c r="AF10" s="46" t="str">
        <f t="shared" si="1"/>
        <v>五</v>
      </c>
      <c r="AG10" s="46" t="str">
        <f t="shared" si="1"/>
        <v>六</v>
      </c>
      <c r="AH10" s="46" t="str">
        <f t="shared" si="1"/>
        <v>日</v>
      </c>
      <c r="AI10" s="46" t="str">
        <f t="shared" si="1"/>
        <v>一</v>
      </c>
      <c r="AJ10" s="46" t="str">
        <f t="shared" si="1"/>
        <v>二</v>
      </c>
      <c r="AK10" s="46" t="str">
        <f t="shared" si="1"/>
        <v>三</v>
      </c>
      <c r="AL10" s="47" t="str">
        <f t="shared" si="1"/>
        <v>四</v>
      </c>
      <c r="AT10" s="48" t="s">
        <v>27</v>
      </c>
    </row>
    <row r="11" spans="1:46" s="60" customFormat="1" ht="88.7" customHeight="1">
      <c r="A11" s="49" t="s">
        <v>44</v>
      </c>
      <c r="B11" s="50" t="s">
        <v>28</v>
      </c>
      <c r="C11" s="51" t="s">
        <v>29</v>
      </c>
      <c r="D11" s="52">
        <f>4000*F11*0.65</f>
        <v>2184000</v>
      </c>
      <c r="E11" s="53" t="s">
        <v>47</v>
      </c>
      <c r="F11" s="54">
        <f>SUM(I11:AL11)</f>
        <v>840</v>
      </c>
      <c r="G11" s="55">
        <f>250000/8400*F11*10</f>
        <v>250000</v>
      </c>
      <c r="H11" s="56" t="s">
        <v>31</v>
      </c>
      <c r="I11" s="57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>
        <v>60</v>
      </c>
      <c r="Z11" s="58">
        <f t="shared" ref="Z11:AL12" si="2">Y11</f>
        <v>60</v>
      </c>
      <c r="AA11" s="58">
        <f t="shared" si="2"/>
        <v>60</v>
      </c>
      <c r="AB11" s="58">
        <f t="shared" si="2"/>
        <v>60</v>
      </c>
      <c r="AC11" s="58">
        <f t="shared" si="2"/>
        <v>60</v>
      </c>
      <c r="AD11" s="58">
        <f t="shared" si="2"/>
        <v>60</v>
      </c>
      <c r="AE11" s="58">
        <f t="shared" si="2"/>
        <v>60</v>
      </c>
      <c r="AF11" s="58">
        <f t="shared" si="2"/>
        <v>60</v>
      </c>
      <c r="AG11" s="58">
        <f t="shared" si="2"/>
        <v>60</v>
      </c>
      <c r="AH11" s="58">
        <f t="shared" si="2"/>
        <v>60</v>
      </c>
      <c r="AI11" s="58">
        <f t="shared" si="2"/>
        <v>60</v>
      </c>
      <c r="AJ11" s="58">
        <f t="shared" si="2"/>
        <v>60</v>
      </c>
      <c r="AK11" s="58">
        <f t="shared" si="2"/>
        <v>60</v>
      </c>
      <c r="AL11" s="59">
        <f t="shared" si="2"/>
        <v>60</v>
      </c>
    </row>
    <row r="12" spans="1:46" s="60" customFormat="1" ht="88.7" customHeight="1">
      <c r="A12" s="61" t="s">
        <v>45</v>
      </c>
      <c r="B12" s="62"/>
      <c r="C12" s="63" t="s">
        <v>32</v>
      </c>
      <c r="D12" s="64" t="s">
        <v>33</v>
      </c>
      <c r="E12" s="65"/>
      <c r="F12" s="66">
        <f>SUM(I12:AL12)</f>
        <v>1440</v>
      </c>
      <c r="G12" s="67"/>
      <c r="H12" s="68"/>
      <c r="I12" s="6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>
        <v>104</v>
      </c>
      <c r="Z12" s="70">
        <f t="shared" si="2"/>
        <v>104</v>
      </c>
      <c r="AA12" s="70">
        <f t="shared" si="2"/>
        <v>104</v>
      </c>
      <c r="AB12" s="70">
        <f t="shared" si="2"/>
        <v>104</v>
      </c>
      <c r="AC12" s="70">
        <f>AB12</f>
        <v>104</v>
      </c>
      <c r="AD12" s="70">
        <f t="shared" si="2"/>
        <v>104</v>
      </c>
      <c r="AE12" s="70">
        <v>102</v>
      </c>
      <c r="AF12" s="70">
        <f t="shared" si="2"/>
        <v>102</v>
      </c>
      <c r="AG12" s="70">
        <f>AF12</f>
        <v>102</v>
      </c>
      <c r="AH12" s="70">
        <f t="shared" si="2"/>
        <v>102</v>
      </c>
      <c r="AI12" s="70">
        <f t="shared" si="2"/>
        <v>102</v>
      </c>
      <c r="AJ12" s="70">
        <f t="shared" si="2"/>
        <v>102</v>
      </c>
      <c r="AK12" s="70">
        <f t="shared" si="2"/>
        <v>102</v>
      </c>
      <c r="AL12" s="71">
        <f t="shared" si="2"/>
        <v>102</v>
      </c>
    </row>
    <row r="13" spans="1:46" s="60" customFormat="1" ht="88.7" customHeight="1">
      <c r="A13" s="72" t="s">
        <v>44</v>
      </c>
      <c r="B13" s="62" t="s">
        <v>28</v>
      </c>
      <c r="C13" s="63" t="s">
        <v>29</v>
      </c>
      <c r="D13" s="64">
        <f>4000*F13*0.65</f>
        <v>218400</v>
      </c>
      <c r="E13" s="65" t="s">
        <v>47</v>
      </c>
      <c r="F13" s="66">
        <f>SUM(I13:AL13)</f>
        <v>84</v>
      </c>
      <c r="G13" s="67" t="s">
        <v>34</v>
      </c>
      <c r="H13" s="68"/>
      <c r="I13" s="69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3">
        <v>84</v>
      </c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/>
    </row>
    <row r="14" spans="1:46" s="60" customFormat="1" ht="88.7" customHeight="1" thickBot="1">
      <c r="A14" s="75" t="s">
        <v>45</v>
      </c>
      <c r="B14" s="76"/>
      <c r="C14" s="77" t="s">
        <v>32</v>
      </c>
      <c r="D14" s="78" t="s">
        <v>33</v>
      </c>
      <c r="E14" s="79"/>
      <c r="F14" s="80">
        <f>SUM(I14:AL14)</f>
        <v>144</v>
      </c>
      <c r="G14" s="81"/>
      <c r="H14" s="82"/>
      <c r="I14" s="83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5">
        <v>144</v>
      </c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6"/>
    </row>
    <row r="15" spans="1:46" s="97" customFormat="1" ht="80.099999999999994" customHeight="1" thickBot="1">
      <c r="A15" s="87"/>
      <c r="B15" s="88" t="s">
        <v>16</v>
      </c>
      <c r="C15" s="88"/>
      <c r="D15" s="89">
        <f>SUM(D11:D12)</f>
        <v>2184000</v>
      </c>
      <c r="E15" s="90"/>
      <c r="F15" s="91">
        <f>SUM(F11:F14)</f>
        <v>2508</v>
      </c>
      <c r="G15" s="92">
        <f>SUM(G11)</f>
        <v>250000</v>
      </c>
      <c r="H15" s="93"/>
      <c r="I15" s="94">
        <f t="shared" ref="I15:N15" si="3">SUM(I11:I12)</f>
        <v>0</v>
      </c>
      <c r="J15" s="95">
        <f t="shared" si="3"/>
        <v>0</v>
      </c>
      <c r="K15" s="95">
        <f t="shared" si="3"/>
        <v>0</v>
      </c>
      <c r="L15" s="95">
        <f t="shared" si="3"/>
        <v>0</v>
      </c>
      <c r="M15" s="95">
        <f t="shared" si="3"/>
        <v>0</v>
      </c>
      <c r="N15" s="95">
        <f t="shared" si="3"/>
        <v>0</v>
      </c>
      <c r="O15" s="95">
        <f t="shared" ref="O15:AL15" si="4">O11+O12</f>
        <v>0</v>
      </c>
      <c r="P15" s="95">
        <f t="shared" si="4"/>
        <v>0</v>
      </c>
      <c r="Q15" s="95">
        <f t="shared" si="4"/>
        <v>0</v>
      </c>
      <c r="R15" s="95">
        <f t="shared" si="4"/>
        <v>0</v>
      </c>
      <c r="S15" s="95">
        <f t="shared" si="4"/>
        <v>0</v>
      </c>
      <c r="T15" s="95">
        <f t="shared" si="4"/>
        <v>0</v>
      </c>
      <c r="U15" s="94">
        <f t="shared" si="4"/>
        <v>0</v>
      </c>
      <c r="V15" s="95">
        <f t="shared" si="4"/>
        <v>0</v>
      </c>
      <c r="W15" s="95">
        <f t="shared" si="4"/>
        <v>0</v>
      </c>
      <c r="X15" s="95">
        <f t="shared" si="4"/>
        <v>0</v>
      </c>
      <c r="Y15" s="95">
        <f t="shared" si="4"/>
        <v>164</v>
      </c>
      <c r="Z15" s="95">
        <f t="shared" si="4"/>
        <v>164</v>
      </c>
      <c r="AA15" s="95">
        <f t="shared" si="4"/>
        <v>164</v>
      </c>
      <c r="AB15" s="95">
        <f t="shared" si="4"/>
        <v>164</v>
      </c>
      <c r="AC15" s="95">
        <f t="shared" si="4"/>
        <v>164</v>
      </c>
      <c r="AD15" s="95">
        <f t="shared" si="4"/>
        <v>164</v>
      </c>
      <c r="AE15" s="95">
        <f t="shared" si="4"/>
        <v>162</v>
      </c>
      <c r="AF15" s="95">
        <f t="shared" si="4"/>
        <v>162</v>
      </c>
      <c r="AG15" s="95">
        <f t="shared" si="4"/>
        <v>162</v>
      </c>
      <c r="AH15" s="95">
        <f t="shared" si="4"/>
        <v>162</v>
      </c>
      <c r="AI15" s="95">
        <f t="shared" si="4"/>
        <v>162</v>
      </c>
      <c r="AJ15" s="95">
        <f t="shared" si="4"/>
        <v>162</v>
      </c>
      <c r="AK15" s="95">
        <f t="shared" si="4"/>
        <v>162</v>
      </c>
      <c r="AL15" s="96">
        <f t="shared" si="4"/>
        <v>162</v>
      </c>
    </row>
    <row r="16" spans="1:46" ht="30.75" customHeight="1">
      <c r="A16" s="98"/>
      <c r="B16" s="98"/>
      <c r="C16" s="99"/>
      <c r="D16" s="100"/>
      <c r="E16" s="101"/>
      <c r="F16" s="102"/>
      <c r="G16" s="102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</row>
    <row r="17" spans="1:38" ht="51.75" customHeight="1">
      <c r="A17" s="104"/>
      <c r="B17" s="11"/>
      <c r="C17" s="11"/>
      <c r="D17" s="105"/>
      <c r="E17" s="105"/>
      <c r="F17" s="106" t="s">
        <v>35</v>
      </c>
      <c r="G17" s="107">
        <f>G15</f>
        <v>250000</v>
      </c>
      <c r="H17" s="108" t="s">
        <v>36</v>
      </c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</row>
    <row r="18" spans="1:38" ht="51.75" customHeight="1">
      <c r="A18" s="104"/>
      <c r="B18" s="11"/>
      <c r="C18" s="11"/>
      <c r="D18" s="105"/>
      <c r="E18" s="105"/>
      <c r="F18" s="110" t="s">
        <v>37</v>
      </c>
      <c r="G18" s="111">
        <f>G17*0.03</f>
        <v>7500</v>
      </c>
      <c r="H18" s="108" t="s">
        <v>36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</row>
    <row r="19" spans="1:38" ht="51.75" customHeight="1">
      <c r="A19" s="104"/>
      <c r="B19" s="11"/>
      <c r="C19" s="11"/>
      <c r="D19" s="105"/>
      <c r="E19" s="105"/>
      <c r="F19" s="110" t="s">
        <v>38</v>
      </c>
      <c r="G19" s="111">
        <f>SUM(G17:G18)*0.05</f>
        <v>12875</v>
      </c>
      <c r="H19" s="108" t="s">
        <v>36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</row>
    <row r="20" spans="1:38" ht="51.75" customHeight="1">
      <c r="A20" s="113"/>
      <c r="B20" s="11"/>
      <c r="C20" s="11"/>
      <c r="D20" s="105"/>
      <c r="E20" s="105"/>
      <c r="F20" s="110" t="s">
        <v>39</v>
      </c>
      <c r="G20" s="114">
        <f>SUM(G17:G19)</f>
        <v>270375</v>
      </c>
      <c r="H20" s="108" t="s">
        <v>36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</row>
    <row r="21" spans="1:38" s="7" customFormat="1" ht="55.7" customHeight="1">
      <c r="A21" s="3" t="s">
        <v>40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s="7" customFormat="1" ht="55.7" customHeight="1">
      <c r="A22" s="3" t="s">
        <v>41</v>
      </c>
      <c r="B22" s="4"/>
      <c r="C22" s="4"/>
      <c r="D22" s="4"/>
      <c r="E22" s="4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s="7" customFormat="1" ht="55.7" customHeight="1">
      <c r="A23" s="3" t="s">
        <v>42</v>
      </c>
      <c r="B23" s="115"/>
      <c r="C23" s="4"/>
      <c r="D23" s="4"/>
      <c r="E23" s="4"/>
      <c r="F23" s="5"/>
      <c r="G23" s="5"/>
      <c r="H23" s="5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</row>
    <row r="24" spans="1:38" s="7" customFormat="1" ht="55.7" customHeight="1">
      <c r="A24" s="3" t="s">
        <v>43</v>
      </c>
      <c r="B24" s="117"/>
      <c r="C24" s="4"/>
      <c r="D24" s="4"/>
      <c r="E24" s="4"/>
      <c r="F24" s="5"/>
      <c r="G24" s="5"/>
      <c r="H24" s="5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</row>
    <row r="25" spans="1:38" s="7" customFormat="1" ht="30.7">
      <c r="A25" s="4"/>
      <c r="B25" s="4"/>
      <c r="C25" s="4"/>
      <c r="D25" s="4"/>
      <c r="E25" s="4"/>
      <c r="F25" s="5"/>
      <c r="G25" s="5"/>
      <c r="H25" s="5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</row>
  </sheetData>
  <mergeCells count="20">
    <mergeCell ref="Y13:AL13"/>
    <mergeCell ref="Y14:AL14"/>
    <mergeCell ref="B15:C15"/>
    <mergeCell ref="I17:AL17"/>
    <mergeCell ref="H8:H10"/>
    <mergeCell ref="B11:B12"/>
    <mergeCell ref="E11:E12"/>
    <mergeCell ref="G11:G12"/>
    <mergeCell ref="H11:H14"/>
    <mergeCell ref="B13:B14"/>
    <mergeCell ref="E13:E14"/>
    <mergeCell ref="G13:G14"/>
    <mergeCell ref="D7:G7"/>
    <mergeCell ref="A8:A10"/>
    <mergeCell ref="B8:B10"/>
    <mergeCell ref="C8:C10"/>
    <mergeCell ref="D8:D10"/>
    <mergeCell ref="E8:E10"/>
    <mergeCell ref="F8:F10"/>
    <mergeCell ref="G8:G10"/>
  </mergeCells>
  <phoneticPr fontId="4" type="noConversion"/>
  <conditionalFormatting sqref="U10:AL10">
    <cfRule type="containsText" dxfId="1" priority="1" operator="containsText" text="日">
      <formula>NOT(ISERROR(SEARCH("日",U10)))</formula>
    </cfRule>
    <cfRule type="containsText" dxfId="0" priority="2" operator="containsText" text="六">
      <formula>NOT(ISERROR(SEARCH("六",U10)))</formula>
    </cfRule>
  </conditionalFormatting>
  <printOptions horizontalCentered="1"/>
  <pageMargins left="0.31496062992125984" right="0.31496062992125984" top="0.74803149606299213" bottom="0.74803149606299213" header="0.31496062992125984" footer="0.31496062992125984"/>
  <pageSetup paperSize="9" scale="3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CDC8-6330-4539-ACA2-6390C475ED36}">
  <sheetPr>
    <tabColor rgb="FFFF0000"/>
    <pageSetUpPr fitToPage="1"/>
  </sheetPr>
  <dimension ref="A1:AT25"/>
  <sheetViews>
    <sheetView showGridLines="0" view="pageBreakPreview" zoomScale="40" zoomScaleNormal="60" zoomScaleSheetLayoutView="40" workbookViewId="0">
      <selection activeCell="D13" sqref="D13"/>
    </sheetView>
  </sheetViews>
  <sheetFormatPr defaultColWidth="8.87890625" defaultRowHeight="15.7"/>
  <cols>
    <col min="1" max="1" width="43.87890625" style="118" customWidth="1"/>
    <col min="2" max="2" width="22" style="118" customWidth="1"/>
    <col min="3" max="3" width="38.64453125" style="118" customWidth="1"/>
    <col min="4" max="4" width="32.3515625" style="118" customWidth="1"/>
    <col min="5" max="5" width="31.64453125" style="118" customWidth="1"/>
    <col min="6" max="6" width="22.64453125" style="119" customWidth="1"/>
    <col min="7" max="7" width="30.64453125" style="119" customWidth="1"/>
    <col min="8" max="8" width="26.64453125" style="119" customWidth="1"/>
    <col min="9" max="24" width="12.3515625" style="120" hidden="1" customWidth="1"/>
    <col min="25" max="38" width="12.3515625" style="120" customWidth="1"/>
    <col min="39" max="236" width="8.87890625" style="104"/>
    <col min="237" max="237" width="14.3515625" style="104" customWidth="1"/>
    <col min="238" max="238" width="21.87890625" style="104" customWidth="1"/>
    <col min="239" max="239" width="16" style="104" customWidth="1"/>
    <col min="240" max="240" width="54" style="104" customWidth="1"/>
    <col min="241" max="241" width="22.1171875" style="104" customWidth="1"/>
    <col min="242" max="242" width="21.46875" style="104" customWidth="1"/>
    <col min="243" max="243" width="17.87890625" style="104" customWidth="1"/>
    <col min="244" max="244" width="17" style="104" customWidth="1"/>
    <col min="245" max="246" width="28.1171875" style="104" customWidth="1"/>
    <col min="247" max="247" width="26.46875" style="104" customWidth="1"/>
    <col min="248" max="264" width="11.64453125" style="104" customWidth="1"/>
    <col min="265" max="265" width="16.3515625" style="104" customWidth="1"/>
    <col min="266" max="266" width="13.87890625" style="104" customWidth="1"/>
    <col min="267" max="270" width="11.64453125" style="104" customWidth="1"/>
    <col min="271" max="271" width="20.1171875" style="104" customWidth="1"/>
    <col min="272" max="273" width="2.64453125" style="104" customWidth="1"/>
    <col min="274" max="492" width="8.87890625" style="104"/>
    <col min="493" max="493" width="14.3515625" style="104" customWidth="1"/>
    <col min="494" max="494" width="21.87890625" style="104" customWidth="1"/>
    <col min="495" max="495" width="16" style="104" customWidth="1"/>
    <col min="496" max="496" width="54" style="104" customWidth="1"/>
    <col min="497" max="497" width="22.1171875" style="104" customWidth="1"/>
    <col min="498" max="498" width="21.46875" style="104" customWidth="1"/>
    <col min="499" max="499" width="17.87890625" style="104" customWidth="1"/>
    <col min="500" max="500" width="17" style="104" customWidth="1"/>
    <col min="501" max="502" width="28.1171875" style="104" customWidth="1"/>
    <col min="503" max="503" width="26.46875" style="104" customWidth="1"/>
    <col min="504" max="520" width="11.64453125" style="104" customWidth="1"/>
    <col min="521" max="521" width="16.3515625" style="104" customWidth="1"/>
    <col min="522" max="522" width="13.87890625" style="104" customWidth="1"/>
    <col min="523" max="526" width="11.64453125" style="104" customWidth="1"/>
    <col min="527" max="527" width="20.1171875" style="104" customWidth="1"/>
    <col min="528" max="529" width="2.64453125" style="104" customWidth="1"/>
    <col min="530" max="748" width="8.87890625" style="104"/>
    <col min="749" max="749" width="14.3515625" style="104" customWidth="1"/>
    <col min="750" max="750" width="21.87890625" style="104" customWidth="1"/>
    <col min="751" max="751" width="16" style="104" customWidth="1"/>
    <col min="752" max="752" width="54" style="104" customWidth="1"/>
    <col min="753" max="753" width="22.1171875" style="104" customWidth="1"/>
    <col min="754" max="754" width="21.46875" style="104" customWidth="1"/>
    <col min="755" max="755" width="17.87890625" style="104" customWidth="1"/>
    <col min="756" max="756" width="17" style="104" customWidth="1"/>
    <col min="757" max="758" width="28.1171875" style="104" customWidth="1"/>
    <col min="759" max="759" width="26.46875" style="104" customWidth="1"/>
    <col min="760" max="776" width="11.64453125" style="104" customWidth="1"/>
    <col min="777" max="777" width="16.3515625" style="104" customWidth="1"/>
    <col min="778" max="778" width="13.87890625" style="104" customWidth="1"/>
    <col min="779" max="782" width="11.64453125" style="104" customWidth="1"/>
    <col min="783" max="783" width="20.1171875" style="104" customWidth="1"/>
    <col min="784" max="785" width="2.64453125" style="104" customWidth="1"/>
    <col min="786" max="1004" width="8.87890625" style="104"/>
    <col min="1005" max="1005" width="14.3515625" style="104" customWidth="1"/>
    <col min="1006" max="1006" width="21.87890625" style="104" customWidth="1"/>
    <col min="1007" max="1007" width="16" style="104" customWidth="1"/>
    <col min="1008" max="1008" width="54" style="104" customWidth="1"/>
    <col min="1009" max="1009" width="22.1171875" style="104" customWidth="1"/>
    <col min="1010" max="1010" width="21.46875" style="104" customWidth="1"/>
    <col min="1011" max="1011" width="17.87890625" style="104" customWidth="1"/>
    <col min="1012" max="1012" width="17" style="104" customWidth="1"/>
    <col min="1013" max="1014" width="28.1171875" style="104" customWidth="1"/>
    <col min="1015" max="1015" width="26.46875" style="104" customWidth="1"/>
    <col min="1016" max="1032" width="11.64453125" style="104" customWidth="1"/>
    <col min="1033" max="1033" width="16.3515625" style="104" customWidth="1"/>
    <col min="1034" max="1034" width="13.87890625" style="104" customWidth="1"/>
    <col min="1035" max="1038" width="11.64453125" style="104" customWidth="1"/>
    <col min="1039" max="1039" width="20.1171875" style="104" customWidth="1"/>
    <col min="1040" max="1041" width="2.64453125" style="104" customWidth="1"/>
    <col min="1042" max="1260" width="8.87890625" style="104"/>
    <col min="1261" max="1261" width="14.3515625" style="104" customWidth="1"/>
    <col min="1262" max="1262" width="21.87890625" style="104" customWidth="1"/>
    <col min="1263" max="1263" width="16" style="104" customWidth="1"/>
    <col min="1264" max="1264" width="54" style="104" customWidth="1"/>
    <col min="1265" max="1265" width="22.1171875" style="104" customWidth="1"/>
    <col min="1266" max="1266" width="21.46875" style="104" customWidth="1"/>
    <col min="1267" max="1267" width="17.87890625" style="104" customWidth="1"/>
    <col min="1268" max="1268" width="17" style="104" customWidth="1"/>
    <col min="1269" max="1270" width="28.1171875" style="104" customWidth="1"/>
    <col min="1271" max="1271" width="26.46875" style="104" customWidth="1"/>
    <col min="1272" max="1288" width="11.64453125" style="104" customWidth="1"/>
    <col min="1289" max="1289" width="16.3515625" style="104" customWidth="1"/>
    <col min="1290" max="1290" width="13.87890625" style="104" customWidth="1"/>
    <col min="1291" max="1294" width="11.64453125" style="104" customWidth="1"/>
    <col min="1295" max="1295" width="20.1171875" style="104" customWidth="1"/>
    <col min="1296" max="1297" width="2.64453125" style="104" customWidth="1"/>
    <col min="1298" max="1516" width="8.87890625" style="104"/>
    <col min="1517" max="1517" width="14.3515625" style="104" customWidth="1"/>
    <col min="1518" max="1518" width="21.87890625" style="104" customWidth="1"/>
    <col min="1519" max="1519" width="16" style="104" customWidth="1"/>
    <col min="1520" max="1520" width="54" style="104" customWidth="1"/>
    <col min="1521" max="1521" width="22.1171875" style="104" customWidth="1"/>
    <col min="1522" max="1522" width="21.46875" style="104" customWidth="1"/>
    <col min="1523" max="1523" width="17.87890625" style="104" customWidth="1"/>
    <col min="1524" max="1524" width="17" style="104" customWidth="1"/>
    <col min="1525" max="1526" width="28.1171875" style="104" customWidth="1"/>
    <col min="1527" max="1527" width="26.46875" style="104" customWidth="1"/>
    <col min="1528" max="1544" width="11.64453125" style="104" customWidth="1"/>
    <col min="1545" max="1545" width="16.3515625" style="104" customWidth="1"/>
    <col min="1546" max="1546" width="13.87890625" style="104" customWidth="1"/>
    <col min="1547" max="1550" width="11.64453125" style="104" customWidth="1"/>
    <col min="1551" max="1551" width="20.1171875" style="104" customWidth="1"/>
    <col min="1552" max="1553" width="2.64453125" style="104" customWidth="1"/>
    <col min="1554" max="1772" width="8.87890625" style="104"/>
    <col min="1773" max="1773" width="14.3515625" style="104" customWidth="1"/>
    <col min="1774" max="1774" width="21.87890625" style="104" customWidth="1"/>
    <col min="1775" max="1775" width="16" style="104" customWidth="1"/>
    <col min="1776" max="1776" width="54" style="104" customWidth="1"/>
    <col min="1777" max="1777" width="22.1171875" style="104" customWidth="1"/>
    <col min="1778" max="1778" width="21.46875" style="104" customWidth="1"/>
    <col min="1779" max="1779" width="17.87890625" style="104" customWidth="1"/>
    <col min="1780" max="1780" width="17" style="104" customWidth="1"/>
    <col min="1781" max="1782" width="28.1171875" style="104" customWidth="1"/>
    <col min="1783" max="1783" width="26.46875" style="104" customWidth="1"/>
    <col min="1784" max="1800" width="11.64453125" style="104" customWidth="1"/>
    <col min="1801" max="1801" width="16.3515625" style="104" customWidth="1"/>
    <col min="1802" max="1802" width="13.87890625" style="104" customWidth="1"/>
    <col min="1803" max="1806" width="11.64453125" style="104" customWidth="1"/>
    <col min="1807" max="1807" width="20.1171875" style="104" customWidth="1"/>
    <col min="1808" max="1809" width="2.64453125" style="104" customWidth="1"/>
    <col min="1810" max="2028" width="8.87890625" style="104"/>
    <col min="2029" max="2029" width="14.3515625" style="104" customWidth="1"/>
    <col min="2030" max="2030" width="21.87890625" style="104" customWidth="1"/>
    <col min="2031" max="2031" width="16" style="104" customWidth="1"/>
    <col min="2032" max="2032" width="54" style="104" customWidth="1"/>
    <col min="2033" max="2033" width="22.1171875" style="104" customWidth="1"/>
    <col min="2034" max="2034" width="21.46875" style="104" customWidth="1"/>
    <col min="2035" max="2035" width="17.87890625" style="104" customWidth="1"/>
    <col min="2036" max="2036" width="17" style="104" customWidth="1"/>
    <col min="2037" max="2038" width="28.1171875" style="104" customWidth="1"/>
    <col min="2039" max="2039" width="26.46875" style="104" customWidth="1"/>
    <col min="2040" max="2056" width="11.64453125" style="104" customWidth="1"/>
    <col min="2057" max="2057" width="16.3515625" style="104" customWidth="1"/>
    <col min="2058" max="2058" width="13.87890625" style="104" customWidth="1"/>
    <col min="2059" max="2062" width="11.64453125" style="104" customWidth="1"/>
    <col min="2063" max="2063" width="20.1171875" style="104" customWidth="1"/>
    <col min="2064" max="2065" width="2.64453125" style="104" customWidth="1"/>
    <col min="2066" max="2284" width="8.87890625" style="104"/>
    <col min="2285" max="2285" width="14.3515625" style="104" customWidth="1"/>
    <col min="2286" max="2286" width="21.87890625" style="104" customWidth="1"/>
    <col min="2287" max="2287" width="16" style="104" customWidth="1"/>
    <col min="2288" max="2288" width="54" style="104" customWidth="1"/>
    <col min="2289" max="2289" width="22.1171875" style="104" customWidth="1"/>
    <col min="2290" max="2290" width="21.46875" style="104" customWidth="1"/>
    <col min="2291" max="2291" width="17.87890625" style="104" customWidth="1"/>
    <col min="2292" max="2292" width="17" style="104" customWidth="1"/>
    <col min="2293" max="2294" width="28.1171875" style="104" customWidth="1"/>
    <col min="2295" max="2295" width="26.46875" style="104" customWidth="1"/>
    <col min="2296" max="2312" width="11.64453125" style="104" customWidth="1"/>
    <col min="2313" max="2313" width="16.3515625" style="104" customWidth="1"/>
    <col min="2314" max="2314" width="13.87890625" style="104" customWidth="1"/>
    <col min="2315" max="2318" width="11.64453125" style="104" customWidth="1"/>
    <col min="2319" max="2319" width="20.1171875" style="104" customWidth="1"/>
    <col min="2320" max="2321" width="2.64453125" style="104" customWidth="1"/>
    <col min="2322" max="2540" width="8.87890625" style="104"/>
    <col min="2541" max="2541" width="14.3515625" style="104" customWidth="1"/>
    <col min="2542" max="2542" width="21.87890625" style="104" customWidth="1"/>
    <col min="2543" max="2543" width="16" style="104" customWidth="1"/>
    <col min="2544" max="2544" width="54" style="104" customWidth="1"/>
    <col min="2545" max="2545" width="22.1171875" style="104" customWidth="1"/>
    <col min="2546" max="2546" width="21.46875" style="104" customWidth="1"/>
    <col min="2547" max="2547" width="17.87890625" style="104" customWidth="1"/>
    <col min="2548" max="2548" width="17" style="104" customWidth="1"/>
    <col min="2549" max="2550" width="28.1171875" style="104" customWidth="1"/>
    <col min="2551" max="2551" width="26.46875" style="104" customWidth="1"/>
    <col min="2552" max="2568" width="11.64453125" style="104" customWidth="1"/>
    <col min="2569" max="2569" width="16.3515625" style="104" customWidth="1"/>
    <col min="2570" max="2570" width="13.87890625" style="104" customWidth="1"/>
    <col min="2571" max="2574" width="11.64453125" style="104" customWidth="1"/>
    <col min="2575" max="2575" width="20.1171875" style="104" customWidth="1"/>
    <col min="2576" max="2577" width="2.64453125" style="104" customWidth="1"/>
    <col min="2578" max="2796" width="8.87890625" style="104"/>
    <col min="2797" max="2797" width="14.3515625" style="104" customWidth="1"/>
    <col min="2798" max="2798" width="21.87890625" style="104" customWidth="1"/>
    <col min="2799" max="2799" width="16" style="104" customWidth="1"/>
    <col min="2800" max="2800" width="54" style="104" customWidth="1"/>
    <col min="2801" max="2801" width="22.1171875" style="104" customWidth="1"/>
    <col min="2802" max="2802" width="21.46875" style="104" customWidth="1"/>
    <col min="2803" max="2803" width="17.87890625" style="104" customWidth="1"/>
    <col min="2804" max="2804" width="17" style="104" customWidth="1"/>
    <col min="2805" max="2806" width="28.1171875" style="104" customWidth="1"/>
    <col min="2807" max="2807" width="26.46875" style="104" customWidth="1"/>
    <col min="2808" max="2824" width="11.64453125" style="104" customWidth="1"/>
    <col min="2825" max="2825" width="16.3515625" style="104" customWidth="1"/>
    <col min="2826" max="2826" width="13.87890625" style="104" customWidth="1"/>
    <col min="2827" max="2830" width="11.64453125" style="104" customWidth="1"/>
    <col min="2831" max="2831" width="20.1171875" style="104" customWidth="1"/>
    <col min="2832" max="2833" width="2.64453125" style="104" customWidth="1"/>
    <col min="2834" max="3052" width="8.87890625" style="104"/>
    <col min="3053" max="3053" width="14.3515625" style="104" customWidth="1"/>
    <col min="3054" max="3054" width="21.87890625" style="104" customWidth="1"/>
    <col min="3055" max="3055" width="16" style="104" customWidth="1"/>
    <col min="3056" max="3056" width="54" style="104" customWidth="1"/>
    <col min="3057" max="3057" width="22.1171875" style="104" customWidth="1"/>
    <col min="3058" max="3058" width="21.46875" style="104" customWidth="1"/>
    <col min="3059" max="3059" width="17.87890625" style="104" customWidth="1"/>
    <col min="3060" max="3060" width="17" style="104" customWidth="1"/>
    <col min="3061" max="3062" width="28.1171875" style="104" customWidth="1"/>
    <col min="3063" max="3063" width="26.46875" style="104" customWidth="1"/>
    <col min="3064" max="3080" width="11.64453125" style="104" customWidth="1"/>
    <col min="3081" max="3081" width="16.3515625" style="104" customWidth="1"/>
    <col min="3082" max="3082" width="13.87890625" style="104" customWidth="1"/>
    <col min="3083" max="3086" width="11.64453125" style="104" customWidth="1"/>
    <col min="3087" max="3087" width="20.1171875" style="104" customWidth="1"/>
    <col min="3088" max="3089" width="2.64453125" style="104" customWidth="1"/>
    <col min="3090" max="3308" width="8.87890625" style="104"/>
    <col min="3309" max="3309" width="14.3515625" style="104" customWidth="1"/>
    <col min="3310" max="3310" width="21.87890625" style="104" customWidth="1"/>
    <col min="3311" max="3311" width="16" style="104" customWidth="1"/>
    <col min="3312" max="3312" width="54" style="104" customWidth="1"/>
    <col min="3313" max="3313" width="22.1171875" style="104" customWidth="1"/>
    <col min="3314" max="3314" width="21.46875" style="104" customWidth="1"/>
    <col min="3315" max="3315" width="17.87890625" style="104" customWidth="1"/>
    <col min="3316" max="3316" width="17" style="104" customWidth="1"/>
    <col min="3317" max="3318" width="28.1171875" style="104" customWidth="1"/>
    <col min="3319" max="3319" width="26.46875" style="104" customWidth="1"/>
    <col min="3320" max="3336" width="11.64453125" style="104" customWidth="1"/>
    <col min="3337" max="3337" width="16.3515625" style="104" customWidth="1"/>
    <col min="3338" max="3338" width="13.87890625" style="104" customWidth="1"/>
    <col min="3339" max="3342" width="11.64453125" style="104" customWidth="1"/>
    <col min="3343" max="3343" width="20.1171875" style="104" customWidth="1"/>
    <col min="3344" max="3345" width="2.64453125" style="104" customWidth="1"/>
    <col min="3346" max="3564" width="8.87890625" style="104"/>
    <col min="3565" max="3565" width="14.3515625" style="104" customWidth="1"/>
    <col min="3566" max="3566" width="21.87890625" style="104" customWidth="1"/>
    <col min="3567" max="3567" width="16" style="104" customWidth="1"/>
    <col min="3568" max="3568" width="54" style="104" customWidth="1"/>
    <col min="3569" max="3569" width="22.1171875" style="104" customWidth="1"/>
    <col min="3570" max="3570" width="21.46875" style="104" customWidth="1"/>
    <col min="3571" max="3571" width="17.87890625" style="104" customWidth="1"/>
    <col min="3572" max="3572" width="17" style="104" customWidth="1"/>
    <col min="3573" max="3574" width="28.1171875" style="104" customWidth="1"/>
    <col min="3575" max="3575" width="26.46875" style="104" customWidth="1"/>
    <col min="3576" max="3592" width="11.64453125" style="104" customWidth="1"/>
    <col min="3593" max="3593" width="16.3515625" style="104" customWidth="1"/>
    <col min="3594" max="3594" width="13.87890625" style="104" customWidth="1"/>
    <col min="3595" max="3598" width="11.64453125" style="104" customWidth="1"/>
    <col min="3599" max="3599" width="20.1171875" style="104" customWidth="1"/>
    <col min="3600" max="3601" width="2.64453125" style="104" customWidth="1"/>
    <col min="3602" max="3820" width="8.87890625" style="104"/>
    <col min="3821" max="3821" width="14.3515625" style="104" customWidth="1"/>
    <col min="3822" max="3822" width="21.87890625" style="104" customWidth="1"/>
    <col min="3823" max="3823" width="16" style="104" customWidth="1"/>
    <col min="3824" max="3824" width="54" style="104" customWidth="1"/>
    <col min="3825" max="3825" width="22.1171875" style="104" customWidth="1"/>
    <col min="3826" max="3826" width="21.46875" style="104" customWidth="1"/>
    <col min="3827" max="3827" width="17.87890625" style="104" customWidth="1"/>
    <col min="3828" max="3828" width="17" style="104" customWidth="1"/>
    <col min="3829" max="3830" width="28.1171875" style="104" customWidth="1"/>
    <col min="3831" max="3831" width="26.46875" style="104" customWidth="1"/>
    <col min="3832" max="3848" width="11.64453125" style="104" customWidth="1"/>
    <col min="3849" max="3849" width="16.3515625" style="104" customWidth="1"/>
    <col min="3850" max="3850" width="13.87890625" style="104" customWidth="1"/>
    <col min="3851" max="3854" width="11.64453125" style="104" customWidth="1"/>
    <col min="3855" max="3855" width="20.1171875" style="104" customWidth="1"/>
    <col min="3856" max="3857" width="2.64453125" style="104" customWidth="1"/>
    <col min="3858" max="4076" width="8.87890625" style="104"/>
    <col min="4077" max="4077" width="14.3515625" style="104" customWidth="1"/>
    <col min="4078" max="4078" width="21.87890625" style="104" customWidth="1"/>
    <col min="4079" max="4079" width="16" style="104" customWidth="1"/>
    <col min="4080" max="4080" width="54" style="104" customWidth="1"/>
    <col min="4081" max="4081" width="22.1171875" style="104" customWidth="1"/>
    <col min="4082" max="4082" width="21.46875" style="104" customWidth="1"/>
    <col min="4083" max="4083" width="17.87890625" style="104" customWidth="1"/>
    <col min="4084" max="4084" width="17" style="104" customWidth="1"/>
    <col min="4085" max="4086" width="28.1171875" style="104" customWidth="1"/>
    <col min="4087" max="4087" width="26.46875" style="104" customWidth="1"/>
    <col min="4088" max="4104" width="11.64453125" style="104" customWidth="1"/>
    <col min="4105" max="4105" width="16.3515625" style="104" customWidth="1"/>
    <col min="4106" max="4106" width="13.87890625" style="104" customWidth="1"/>
    <col min="4107" max="4110" width="11.64453125" style="104" customWidth="1"/>
    <col min="4111" max="4111" width="20.1171875" style="104" customWidth="1"/>
    <col min="4112" max="4113" width="2.64453125" style="104" customWidth="1"/>
    <col min="4114" max="4332" width="8.87890625" style="104"/>
    <col min="4333" max="4333" width="14.3515625" style="104" customWidth="1"/>
    <col min="4334" max="4334" width="21.87890625" style="104" customWidth="1"/>
    <col min="4335" max="4335" width="16" style="104" customWidth="1"/>
    <col min="4336" max="4336" width="54" style="104" customWidth="1"/>
    <col min="4337" max="4337" width="22.1171875" style="104" customWidth="1"/>
    <col min="4338" max="4338" width="21.46875" style="104" customWidth="1"/>
    <col min="4339" max="4339" width="17.87890625" style="104" customWidth="1"/>
    <col min="4340" max="4340" width="17" style="104" customWidth="1"/>
    <col min="4341" max="4342" width="28.1171875" style="104" customWidth="1"/>
    <col min="4343" max="4343" width="26.46875" style="104" customWidth="1"/>
    <col min="4344" max="4360" width="11.64453125" style="104" customWidth="1"/>
    <col min="4361" max="4361" width="16.3515625" style="104" customWidth="1"/>
    <col min="4362" max="4362" width="13.87890625" style="104" customWidth="1"/>
    <col min="4363" max="4366" width="11.64453125" style="104" customWidth="1"/>
    <col min="4367" max="4367" width="20.1171875" style="104" customWidth="1"/>
    <col min="4368" max="4369" width="2.64453125" style="104" customWidth="1"/>
    <col min="4370" max="4588" width="8.87890625" style="104"/>
    <col min="4589" max="4589" width="14.3515625" style="104" customWidth="1"/>
    <col min="4590" max="4590" width="21.87890625" style="104" customWidth="1"/>
    <col min="4591" max="4591" width="16" style="104" customWidth="1"/>
    <col min="4592" max="4592" width="54" style="104" customWidth="1"/>
    <col min="4593" max="4593" width="22.1171875" style="104" customWidth="1"/>
    <col min="4594" max="4594" width="21.46875" style="104" customWidth="1"/>
    <col min="4595" max="4595" width="17.87890625" style="104" customWidth="1"/>
    <col min="4596" max="4596" width="17" style="104" customWidth="1"/>
    <col min="4597" max="4598" width="28.1171875" style="104" customWidth="1"/>
    <col min="4599" max="4599" width="26.46875" style="104" customWidth="1"/>
    <col min="4600" max="4616" width="11.64453125" style="104" customWidth="1"/>
    <col min="4617" max="4617" width="16.3515625" style="104" customWidth="1"/>
    <col min="4618" max="4618" width="13.87890625" style="104" customWidth="1"/>
    <col min="4619" max="4622" width="11.64453125" style="104" customWidth="1"/>
    <col min="4623" max="4623" width="20.1171875" style="104" customWidth="1"/>
    <col min="4624" max="4625" width="2.64453125" style="104" customWidth="1"/>
    <col min="4626" max="4844" width="8.87890625" style="104"/>
    <col min="4845" max="4845" width="14.3515625" style="104" customWidth="1"/>
    <col min="4846" max="4846" width="21.87890625" style="104" customWidth="1"/>
    <col min="4847" max="4847" width="16" style="104" customWidth="1"/>
    <col min="4848" max="4848" width="54" style="104" customWidth="1"/>
    <col min="4849" max="4849" width="22.1171875" style="104" customWidth="1"/>
    <col min="4850" max="4850" width="21.46875" style="104" customWidth="1"/>
    <col min="4851" max="4851" width="17.87890625" style="104" customWidth="1"/>
    <col min="4852" max="4852" width="17" style="104" customWidth="1"/>
    <col min="4853" max="4854" width="28.1171875" style="104" customWidth="1"/>
    <col min="4855" max="4855" width="26.46875" style="104" customWidth="1"/>
    <col min="4856" max="4872" width="11.64453125" style="104" customWidth="1"/>
    <col min="4873" max="4873" width="16.3515625" style="104" customWidth="1"/>
    <col min="4874" max="4874" width="13.87890625" style="104" customWidth="1"/>
    <col min="4875" max="4878" width="11.64453125" style="104" customWidth="1"/>
    <col min="4879" max="4879" width="20.1171875" style="104" customWidth="1"/>
    <col min="4880" max="4881" width="2.64453125" style="104" customWidth="1"/>
    <col min="4882" max="5100" width="8.87890625" style="104"/>
    <col min="5101" max="5101" width="14.3515625" style="104" customWidth="1"/>
    <col min="5102" max="5102" width="21.87890625" style="104" customWidth="1"/>
    <col min="5103" max="5103" width="16" style="104" customWidth="1"/>
    <col min="5104" max="5104" width="54" style="104" customWidth="1"/>
    <col min="5105" max="5105" width="22.1171875" style="104" customWidth="1"/>
    <col min="5106" max="5106" width="21.46875" style="104" customWidth="1"/>
    <col min="5107" max="5107" width="17.87890625" style="104" customWidth="1"/>
    <col min="5108" max="5108" width="17" style="104" customWidth="1"/>
    <col min="5109" max="5110" width="28.1171875" style="104" customWidth="1"/>
    <col min="5111" max="5111" width="26.46875" style="104" customWidth="1"/>
    <col min="5112" max="5128" width="11.64453125" style="104" customWidth="1"/>
    <col min="5129" max="5129" width="16.3515625" style="104" customWidth="1"/>
    <col min="5130" max="5130" width="13.87890625" style="104" customWidth="1"/>
    <col min="5131" max="5134" width="11.64453125" style="104" customWidth="1"/>
    <col min="5135" max="5135" width="20.1171875" style="104" customWidth="1"/>
    <col min="5136" max="5137" width="2.64453125" style="104" customWidth="1"/>
    <col min="5138" max="5356" width="8.87890625" style="104"/>
    <col min="5357" max="5357" width="14.3515625" style="104" customWidth="1"/>
    <col min="5358" max="5358" width="21.87890625" style="104" customWidth="1"/>
    <col min="5359" max="5359" width="16" style="104" customWidth="1"/>
    <col min="5360" max="5360" width="54" style="104" customWidth="1"/>
    <col min="5361" max="5361" width="22.1171875" style="104" customWidth="1"/>
    <col min="5362" max="5362" width="21.46875" style="104" customWidth="1"/>
    <col min="5363" max="5363" width="17.87890625" style="104" customWidth="1"/>
    <col min="5364" max="5364" width="17" style="104" customWidth="1"/>
    <col min="5365" max="5366" width="28.1171875" style="104" customWidth="1"/>
    <col min="5367" max="5367" width="26.46875" style="104" customWidth="1"/>
    <col min="5368" max="5384" width="11.64453125" style="104" customWidth="1"/>
    <col min="5385" max="5385" width="16.3515625" style="104" customWidth="1"/>
    <col min="5386" max="5386" width="13.87890625" style="104" customWidth="1"/>
    <col min="5387" max="5390" width="11.64453125" style="104" customWidth="1"/>
    <col min="5391" max="5391" width="20.1171875" style="104" customWidth="1"/>
    <col min="5392" max="5393" width="2.64453125" style="104" customWidth="1"/>
    <col min="5394" max="5612" width="8.87890625" style="104"/>
    <col min="5613" max="5613" width="14.3515625" style="104" customWidth="1"/>
    <col min="5614" max="5614" width="21.87890625" style="104" customWidth="1"/>
    <col min="5615" max="5615" width="16" style="104" customWidth="1"/>
    <col min="5616" max="5616" width="54" style="104" customWidth="1"/>
    <col min="5617" max="5617" width="22.1171875" style="104" customWidth="1"/>
    <col min="5618" max="5618" width="21.46875" style="104" customWidth="1"/>
    <col min="5619" max="5619" width="17.87890625" style="104" customWidth="1"/>
    <col min="5620" max="5620" width="17" style="104" customWidth="1"/>
    <col min="5621" max="5622" width="28.1171875" style="104" customWidth="1"/>
    <col min="5623" max="5623" width="26.46875" style="104" customWidth="1"/>
    <col min="5624" max="5640" width="11.64453125" style="104" customWidth="1"/>
    <col min="5641" max="5641" width="16.3515625" style="104" customWidth="1"/>
    <col min="5642" max="5642" width="13.87890625" style="104" customWidth="1"/>
    <col min="5643" max="5646" width="11.64453125" style="104" customWidth="1"/>
    <col min="5647" max="5647" width="20.1171875" style="104" customWidth="1"/>
    <col min="5648" max="5649" width="2.64453125" style="104" customWidth="1"/>
    <col min="5650" max="5868" width="8.87890625" style="104"/>
    <col min="5869" max="5869" width="14.3515625" style="104" customWidth="1"/>
    <col min="5870" max="5870" width="21.87890625" style="104" customWidth="1"/>
    <col min="5871" max="5871" width="16" style="104" customWidth="1"/>
    <col min="5872" max="5872" width="54" style="104" customWidth="1"/>
    <col min="5873" max="5873" width="22.1171875" style="104" customWidth="1"/>
    <col min="5874" max="5874" width="21.46875" style="104" customWidth="1"/>
    <col min="5875" max="5875" width="17.87890625" style="104" customWidth="1"/>
    <col min="5876" max="5876" width="17" style="104" customWidth="1"/>
    <col min="5877" max="5878" width="28.1171875" style="104" customWidth="1"/>
    <col min="5879" max="5879" width="26.46875" style="104" customWidth="1"/>
    <col min="5880" max="5896" width="11.64453125" style="104" customWidth="1"/>
    <col min="5897" max="5897" width="16.3515625" style="104" customWidth="1"/>
    <col min="5898" max="5898" width="13.87890625" style="104" customWidth="1"/>
    <col min="5899" max="5902" width="11.64453125" style="104" customWidth="1"/>
    <col min="5903" max="5903" width="20.1171875" style="104" customWidth="1"/>
    <col min="5904" max="5905" width="2.64453125" style="104" customWidth="1"/>
    <col min="5906" max="6124" width="8.87890625" style="104"/>
    <col min="6125" max="6125" width="14.3515625" style="104" customWidth="1"/>
    <col min="6126" max="6126" width="21.87890625" style="104" customWidth="1"/>
    <col min="6127" max="6127" width="16" style="104" customWidth="1"/>
    <col min="6128" max="6128" width="54" style="104" customWidth="1"/>
    <col min="6129" max="6129" width="22.1171875" style="104" customWidth="1"/>
    <col min="6130" max="6130" width="21.46875" style="104" customWidth="1"/>
    <col min="6131" max="6131" width="17.87890625" style="104" customWidth="1"/>
    <col min="6132" max="6132" width="17" style="104" customWidth="1"/>
    <col min="6133" max="6134" width="28.1171875" style="104" customWidth="1"/>
    <col min="6135" max="6135" width="26.46875" style="104" customWidth="1"/>
    <col min="6136" max="6152" width="11.64453125" style="104" customWidth="1"/>
    <col min="6153" max="6153" width="16.3515625" style="104" customWidth="1"/>
    <col min="6154" max="6154" width="13.87890625" style="104" customWidth="1"/>
    <col min="6155" max="6158" width="11.64453125" style="104" customWidth="1"/>
    <col min="6159" max="6159" width="20.1171875" style="104" customWidth="1"/>
    <col min="6160" max="6161" width="2.64453125" style="104" customWidth="1"/>
    <col min="6162" max="6380" width="8.87890625" style="104"/>
    <col min="6381" max="6381" width="14.3515625" style="104" customWidth="1"/>
    <col min="6382" max="6382" width="21.87890625" style="104" customWidth="1"/>
    <col min="6383" max="6383" width="16" style="104" customWidth="1"/>
    <col min="6384" max="6384" width="54" style="104" customWidth="1"/>
    <col min="6385" max="6385" width="22.1171875" style="104" customWidth="1"/>
    <col min="6386" max="6386" width="21.46875" style="104" customWidth="1"/>
    <col min="6387" max="6387" width="17.87890625" style="104" customWidth="1"/>
    <col min="6388" max="6388" width="17" style="104" customWidth="1"/>
    <col min="6389" max="6390" width="28.1171875" style="104" customWidth="1"/>
    <col min="6391" max="6391" width="26.46875" style="104" customWidth="1"/>
    <col min="6392" max="6408" width="11.64453125" style="104" customWidth="1"/>
    <col min="6409" max="6409" width="16.3515625" style="104" customWidth="1"/>
    <col min="6410" max="6410" width="13.87890625" style="104" customWidth="1"/>
    <col min="6411" max="6414" width="11.64453125" style="104" customWidth="1"/>
    <col min="6415" max="6415" width="20.1171875" style="104" customWidth="1"/>
    <col min="6416" max="6417" width="2.64453125" style="104" customWidth="1"/>
    <col min="6418" max="6636" width="8.87890625" style="104"/>
    <col min="6637" max="6637" width="14.3515625" style="104" customWidth="1"/>
    <col min="6638" max="6638" width="21.87890625" style="104" customWidth="1"/>
    <col min="6639" max="6639" width="16" style="104" customWidth="1"/>
    <col min="6640" max="6640" width="54" style="104" customWidth="1"/>
    <col min="6641" max="6641" width="22.1171875" style="104" customWidth="1"/>
    <col min="6642" max="6642" width="21.46875" style="104" customWidth="1"/>
    <col min="6643" max="6643" width="17.87890625" style="104" customWidth="1"/>
    <col min="6644" max="6644" width="17" style="104" customWidth="1"/>
    <col min="6645" max="6646" width="28.1171875" style="104" customWidth="1"/>
    <col min="6647" max="6647" width="26.46875" style="104" customWidth="1"/>
    <col min="6648" max="6664" width="11.64453125" style="104" customWidth="1"/>
    <col min="6665" max="6665" width="16.3515625" style="104" customWidth="1"/>
    <col min="6666" max="6666" width="13.87890625" style="104" customWidth="1"/>
    <col min="6667" max="6670" width="11.64453125" style="104" customWidth="1"/>
    <col min="6671" max="6671" width="20.1171875" style="104" customWidth="1"/>
    <col min="6672" max="6673" width="2.64453125" style="104" customWidth="1"/>
    <col min="6674" max="6892" width="8.87890625" style="104"/>
    <col min="6893" max="6893" width="14.3515625" style="104" customWidth="1"/>
    <col min="6894" max="6894" width="21.87890625" style="104" customWidth="1"/>
    <col min="6895" max="6895" width="16" style="104" customWidth="1"/>
    <col min="6896" max="6896" width="54" style="104" customWidth="1"/>
    <col min="6897" max="6897" width="22.1171875" style="104" customWidth="1"/>
    <col min="6898" max="6898" width="21.46875" style="104" customWidth="1"/>
    <col min="6899" max="6899" width="17.87890625" style="104" customWidth="1"/>
    <col min="6900" max="6900" width="17" style="104" customWidth="1"/>
    <col min="6901" max="6902" width="28.1171875" style="104" customWidth="1"/>
    <col min="6903" max="6903" width="26.46875" style="104" customWidth="1"/>
    <col min="6904" max="6920" width="11.64453125" style="104" customWidth="1"/>
    <col min="6921" max="6921" width="16.3515625" style="104" customWidth="1"/>
    <col min="6922" max="6922" width="13.87890625" style="104" customWidth="1"/>
    <col min="6923" max="6926" width="11.64453125" style="104" customWidth="1"/>
    <col min="6927" max="6927" width="20.1171875" style="104" customWidth="1"/>
    <col min="6928" max="6929" width="2.64453125" style="104" customWidth="1"/>
    <col min="6930" max="7148" width="8.87890625" style="104"/>
    <col min="7149" max="7149" width="14.3515625" style="104" customWidth="1"/>
    <col min="7150" max="7150" width="21.87890625" style="104" customWidth="1"/>
    <col min="7151" max="7151" width="16" style="104" customWidth="1"/>
    <col min="7152" max="7152" width="54" style="104" customWidth="1"/>
    <col min="7153" max="7153" width="22.1171875" style="104" customWidth="1"/>
    <col min="7154" max="7154" width="21.46875" style="104" customWidth="1"/>
    <col min="7155" max="7155" width="17.87890625" style="104" customWidth="1"/>
    <col min="7156" max="7156" width="17" style="104" customWidth="1"/>
    <col min="7157" max="7158" width="28.1171875" style="104" customWidth="1"/>
    <col min="7159" max="7159" width="26.46875" style="104" customWidth="1"/>
    <col min="7160" max="7176" width="11.64453125" style="104" customWidth="1"/>
    <col min="7177" max="7177" width="16.3515625" style="104" customWidth="1"/>
    <col min="7178" max="7178" width="13.87890625" style="104" customWidth="1"/>
    <col min="7179" max="7182" width="11.64453125" style="104" customWidth="1"/>
    <col min="7183" max="7183" width="20.1171875" style="104" customWidth="1"/>
    <col min="7184" max="7185" width="2.64453125" style="104" customWidth="1"/>
    <col min="7186" max="7404" width="8.87890625" style="104"/>
    <col min="7405" max="7405" width="14.3515625" style="104" customWidth="1"/>
    <col min="7406" max="7406" width="21.87890625" style="104" customWidth="1"/>
    <col min="7407" max="7407" width="16" style="104" customWidth="1"/>
    <col min="7408" max="7408" width="54" style="104" customWidth="1"/>
    <col min="7409" max="7409" width="22.1171875" style="104" customWidth="1"/>
    <col min="7410" max="7410" width="21.46875" style="104" customWidth="1"/>
    <col min="7411" max="7411" width="17.87890625" style="104" customWidth="1"/>
    <col min="7412" max="7412" width="17" style="104" customWidth="1"/>
    <col min="7413" max="7414" width="28.1171875" style="104" customWidth="1"/>
    <col min="7415" max="7415" width="26.46875" style="104" customWidth="1"/>
    <col min="7416" max="7432" width="11.64453125" style="104" customWidth="1"/>
    <col min="7433" max="7433" width="16.3515625" style="104" customWidth="1"/>
    <col min="7434" max="7434" width="13.87890625" style="104" customWidth="1"/>
    <col min="7435" max="7438" width="11.64453125" style="104" customWidth="1"/>
    <col min="7439" max="7439" width="20.1171875" style="104" customWidth="1"/>
    <col min="7440" max="7441" width="2.64453125" style="104" customWidth="1"/>
    <col min="7442" max="7660" width="8.87890625" style="104"/>
    <col min="7661" max="7661" width="14.3515625" style="104" customWidth="1"/>
    <col min="7662" max="7662" width="21.87890625" style="104" customWidth="1"/>
    <col min="7663" max="7663" width="16" style="104" customWidth="1"/>
    <col min="7664" max="7664" width="54" style="104" customWidth="1"/>
    <col min="7665" max="7665" width="22.1171875" style="104" customWidth="1"/>
    <col min="7666" max="7666" width="21.46875" style="104" customWidth="1"/>
    <col min="7667" max="7667" width="17.87890625" style="104" customWidth="1"/>
    <col min="7668" max="7668" width="17" style="104" customWidth="1"/>
    <col min="7669" max="7670" width="28.1171875" style="104" customWidth="1"/>
    <col min="7671" max="7671" width="26.46875" style="104" customWidth="1"/>
    <col min="7672" max="7688" width="11.64453125" style="104" customWidth="1"/>
    <col min="7689" max="7689" width="16.3515625" style="104" customWidth="1"/>
    <col min="7690" max="7690" width="13.87890625" style="104" customWidth="1"/>
    <col min="7691" max="7694" width="11.64453125" style="104" customWidth="1"/>
    <col min="7695" max="7695" width="20.1171875" style="104" customWidth="1"/>
    <col min="7696" max="7697" width="2.64453125" style="104" customWidth="1"/>
    <col min="7698" max="7916" width="8.87890625" style="104"/>
    <col min="7917" max="7917" width="14.3515625" style="104" customWidth="1"/>
    <col min="7918" max="7918" width="21.87890625" style="104" customWidth="1"/>
    <col min="7919" max="7919" width="16" style="104" customWidth="1"/>
    <col min="7920" max="7920" width="54" style="104" customWidth="1"/>
    <col min="7921" max="7921" width="22.1171875" style="104" customWidth="1"/>
    <col min="7922" max="7922" width="21.46875" style="104" customWidth="1"/>
    <col min="7923" max="7923" width="17.87890625" style="104" customWidth="1"/>
    <col min="7924" max="7924" width="17" style="104" customWidth="1"/>
    <col min="7925" max="7926" width="28.1171875" style="104" customWidth="1"/>
    <col min="7927" max="7927" width="26.46875" style="104" customWidth="1"/>
    <col min="7928" max="7944" width="11.64453125" style="104" customWidth="1"/>
    <col min="7945" max="7945" width="16.3515625" style="104" customWidth="1"/>
    <col min="7946" max="7946" width="13.87890625" style="104" customWidth="1"/>
    <col min="7947" max="7950" width="11.64453125" style="104" customWidth="1"/>
    <col min="7951" max="7951" width="20.1171875" style="104" customWidth="1"/>
    <col min="7952" max="7953" width="2.64453125" style="104" customWidth="1"/>
    <col min="7954" max="8172" width="8.87890625" style="104"/>
    <col min="8173" max="8173" width="14.3515625" style="104" customWidth="1"/>
    <col min="8174" max="8174" width="21.87890625" style="104" customWidth="1"/>
    <col min="8175" max="8175" width="16" style="104" customWidth="1"/>
    <col min="8176" max="8176" width="54" style="104" customWidth="1"/>
    <col min="8177" max="8177" width="22.1171875" style="104" customWidth="1"/>
    <col min="8178" max="8178" width="21.46875" style="104" customWidth="1"/>
    <col min="8179" max="8179" width="17.87890625" style="104" customWidth="1"/>
    <col min="8180" max="8180" width="17" style="104" customWidth="1"/>
    <col min="8181" max="8182" width="28.1171875" style="104" customWidth="1"/>
    <col min="8183" max="8183" width="26.46875" style="104" customWidth="1"/>
    <col min="8184" max="8200" width="11.64453125" style="104" customWidth="1"/>
    <col min="8201" max="8201" width="16.3515625" style="104" customWidth="1"/>
    <col min="8202" max="8202" width="13.87890625" style="104" customWidth="1"/>
    <col min="8203" max="8206" width="11.64453125" style="104" customWidth="1"/>
    <col min="8207" max="8207" width="20.1171875" style="104" customWidth="1"/>
    <col min="8208" max="8209" width="2.64453125" style="104" customWidth="1"/>
    <col min="8210" max="8428" width="8.87890625" style="104"/>
    <col min="8429" max="8429" width="14.3515625" style="104" customWidth="1"/>
    <col min="8430" max="8430" width="21.87890625" style="104" customWidth="1"/>
    <col min="8431" max="8431" width="16" style="104" customWidth="1"/>
    <col min="8432" max="8432" width="54" style="104" customWidth="1"/>
    <col min="8433" max="8433" width="22.1171875" style="104" customWidth="1"/>
    <col min="8434" max="8434" width="21.46875" style="104" customWidth="1"/>
    <col min="8435" max="8435" width="17.87890625" style="104" customWidth="1"/>
    <col min="8436" max="8436" width="17" style="104" customWidth="1"/>
    <col min="8437" max="8438" width="28.1171875" style="104" customWidth="1"/>
    <col min="8439" max="8439" width="26.46875" style="104" customWidth="1"/>
    <col min="8440" max="8456" width="11.64453125" style="104" customWidth="1"/>
    <col min="8457" max="8457" width="16.3515625" style="104" customWidth="1"/>
    <col min="8458" max="8458" width="13.87890625" style="104" customWidth="1"/>
    <col min="8459" max="8462" width="11.64453125" style="104" customWidth="1"/>
    <col min="8463" max="8463" width="20.1171875" style="104" customWidth="1"/>
    <col min="8464" max="8465" width="2.64453125" style="104" customWidth="1"/>
    <col min="8466" max="8684" width="8.87890625" style="104"/>
    <col min="8685" max="8685" width="14.3515625" style="104" customWidth="1"/>
    <col min="8686" max="8686" width="21.87890625" style="104" customWidth="1"/>
    <col min="8687" max="8687" width="16" style="104" customWidth="1"/>
    <col min="8688" max="8688" width="54" style="104" customWidth="1"/>
    <col min="8689" max="8689" width="22.1171875" style="104" customWidth="1"/>
    <col min="8690" max="8690" width="21.46875" style="104" customWidth="1"/>
    <col min="8691" max="8691" width="17.87890625" style="104" customWidth="1"/>
    <col min="8692" max="8692" width="17" style="104" customWidth="1"/>
    <col min="8693" max="8694" width="28.1171875" style="104" customWidth="1"/>
    <col min="8695" max="8695" width="26.46875" style="104" customWidth="1"/>
    <col min="8696" max="8712" width="11.64453125" style="104" customWidth="1"/>
    <col min="8713" max="8713" width="16.3515625" style="104" customWidth="1"/>
    <col min="8714" max="8714" width="13.87890625" style="104" customWidth="1"/>
    <col min="8715" max="8718" width="11.64453125" style="104" customWidth="1"/>
    <col min="8719" max="8719" width="20.1171875" style="104" customWidth="1"/>
    <col min="8720" max="8721" width="2.64453125" style="104" customWidth="1"/>
    <col min="8722" max="8940" width="8.87890625" style="104"/>
    <col min="8941" max="8941" width="14.3515625" style="104" customWidth="1"/>
    <col min="8942" max="8942" width="21.87890625" style="104" customWidth="1"/>
    <col min="8943" max="8943" width="16" style="104" customWidth="1"/>
    <col min="8944" max="8944" width="54" style="104" customWidth="1"/>
    <col min="8945" max="8945" width="22.1171875" style="104" customWidth="1"/>
    <col min="8946" max="8946" width="21.46875" style="104" customWidth="1"/>
    <col min="8947" max="8947" width="17.87890625" style="104" customWidth="1"/>
    <col min="8948" max="8948" width="17" style="104" customWidth="1"/>
    <col min="8949" max="8950" width="28.1171875" style="104" customWidth="1"/>
    <col min="8951" max="8951" width="26.46875" style="104" customWidth="1"/>
    <col min="8952" max="8968" width="11.64453125" style="104" customWidth="1"/>
    <col min="8969" max="8969" width="16.3515625" style="104" customWidth="1"/>
    <col min="8970" max="8970" width="13.87890625" style="104" customWidth="1"/>
    <col min="8971" max="8974" width="11.64453125" style="104" customWidth="1"/>
    <col min="8975" max="8975" width="20.1171875" style="104" customWidth="1"/>
    <col min="8976" max="8977" width="2.64453125" style="104" customWidth="1"/>
    <col min="8978" max="9196" width="8.87890625" style="104"/>
    <col min="9197" max="9197" width="14.3515625" style="104" customWidth="1"/>
    <col min="9198" max="9198" width="21.87890625" style="104" customWidth="1"/>
    <col min="9199" max="9199" width="16" style="104" customWidth="1"/>
    <col min="9200" max="9200" width="54" style="104" customWidth="1"/>
    <col min="9201" max="9201" width="22.1171875" style="104" customWidth="1"/>
    <col min="9202" max="9202" width="21.46875" style="104" customWidth="1"/>
    <col min="9203" max="9203" width="17.87890625" style="104" customWidth="1"/>
    <col min="9204" max="9204" width="17" style="104" customWidth="1"/>
    <col min="9205" max="9206" width="28.1171875" style="104" customWidth="1"/>
    <col min="9207" max="9207" width="26.46875" style="104" customWidth="1"/>
    <col min="9208" max="9224" width="11.64453125" style="104" customWidth="1"/>
    <col min="9225" max="9225" width="16.3515625" style="104" customWidth="1"/>
    <col min="9226" max="9226" width="13.87890625" style="104" customWidth="1"/>
    <col min="9227" max="9230" width="11.64453125" style="104" customWidth="1"/>
    <col min="9231" max="9231" width="20.1171875" style="104" customWidth="1"/>
    <col min="9232" max="9233" width="2.64453125" style="104" customWidth="1"/>
    <col min="9234" max="9452" width="8.87890625" style="104"/>
    <col min="9453" max="9453" width="14.3515625" style="104" customWidth="1"/>
    <col min="9454" max="9454" width="21.87890625" style="104" customWidth="1"/>
    <col min="9455" max="9455" width="16" style="104" customWidth="1"/>
    <col min="9456" max="9456" width="54" style="104" customWidth="1"/>
    <col min="9457" max="9457" width="22.1171875" style="104" customWidth="1"/>
    <col min="9458" max="9458" width="21.46875" style="104" customWidth="1"/>
    <col min="9459" max="9459" width="17.87890625" style="104" customWidth="1"/>
    <col min="9460" max="9460" width="17" style="104" customWidth="1"/>
    <col min="9461" max="9462" width="28.1171875" style="104" customWidth="1"/>
    <col min="9463" max="9463" width="26.46875" style="104" customWidth="1"/>
    <col min="9464" max="9480" width="11.64453125" style="104" customWidth="1"/>
    <col min="9481" max="9481" width="16.3515625" style="104" customWidth="1"/>
    <col min="9482" max="9482" width="13.87890625" style="104" customWidth="1"/>
    <col min="9483" max="9486" width="11.64453125" style="104" customWidth="1"/>
    <col min="9487" max="9487" width="20.1171875" style="104" customWidth="1"/>
    <col min="9488" max="9489" width="2.64453125" style="104" customWidth="1"/>
    <col min="9490" max="9708" width="8.87890625" style="104"/>
    <col min="9709" max="9709" width="14.3515625" style="104" customWidth="1"/>
    <col min="9710" max="9710" width="21.87890625" style="104" customWidth="1"/>
    <col min="9711" max="9711" width="16" style="104" customWidth="1"/>
    <col min="9712" max="9712" width="54" style="104" customWidth="1"/>
    <col min="9713" max="9713" width="22.1171875" style="104" customWidth="1"/>
    <col min="9714" max="9714" width="21.46875" style="104" customWidth="1"/>
    <col min="9715" max="9715" width="17.87890625" style="104" customWidth="1"/>
    <col min="9716" max="9716" width="17" style="104" customWidth="1"/>
    <col min="9717" max="9718" width="28.1171875" style="104" customWidth="1"/>
    <col min="9719" max="9719" width="26.46875" style="104" customWidth="1"/>
    <col min="9720" max="9736" width="11.64453125" style="104" customWidth="1"/>
    <col min="9737" max="9737" width="16.3515625" style="104" customWidth="1"/>
    <col min="9738" max="9738" width="13.87890625" style="104" customWidth="1"/>
    <col min="9739" max="9742" width="11.64453125" style="104" customWidth="1"/>
    <col min="9743" max="9743" width="20.1171875" style="104" customWidth="1"/>
    <col min="9744" max="9745" width="2.64453125" style="104" customWidth="1"/>
    <col min="9746" max="9964" width="8.87890625" style="104"/>
    <col min="9965" max="9965" width="14.3515625" style="104" customWidth="1"/>
    <col min="9966" max="9966" width="21.87890625" style="104" customWidth="1"/>
    <col min="9967" max="9967" width="16" style="104" customWidth="1"/>
    <col min="9968" max="9968" width="54" style="104" customWidth="1"/>
    <col min="9969" max="9969" width="22.1171875" style="104" customWidth="1"/>
    <col min="9970" max="9970" width="21.46875" style="104" customWidth="1"/>
    <col min="9971" max="9971" width="17.87890625" style="104" customWidth="1"/>
    <col min="9972" max="9972" width="17" style="104" customWidth="1"/>
    <col min="9973" max="9974" width="28.1171875" style="104" customWidth="1"/>
    <col min="9975" max="9975" width="26.46875" style="104" customWidth="1"/>
    <col min="9976" max="9992" width="11.64453125" style="104" customWidth="1"/>
    <col min="9993" max="9993" width="16.3515625" style="104" customWidth="1"/>
    <col min="9994" max="9994" width="13.87890625" style="104" customWidth="1"/>
    <col min="9995" max="9998" width="11.64453125" style="104" customWidth="1"/>
    <col min="9999" max="9999" width="20.1171875" style="104" customWidth="1"/>
    <col min="10000" max="10001" width="2.64453125" style="104" customWidth="1"/>
    <col min="10002" max="10220" width="8.87890625" style="104"/>
    <col min="10221" max="10221" width="14.3515625" style="104" customWidth="1"/>
    <col min="10222" max="10222" width="21.87890625" style="104" customWidth="1"/>
    <col min="10223" max="10223" width="16" style="104" customWidth="1"/>
    <col min="10224" max="10224" width="54" style="104" customWidth="1"/>
    <col min="10225" max="10225" width="22.1171875" style="104" customWidth="1"/>
    <col min="10226" max="10226" width="21.46875" style="104" customWidth="1"/>
    <col min="10227" max="10227" width="17.87890625" style="104" customWidth="1"/>
    <col min="10228" max="10228" width="17" style="104" customWidth="1"/>
    <col min="10229" max="10230" width="28.1171875" style="104" customWidth="1"/>
    <col min="10231" max="10231" width="26.46875" style="104" customWidth="1"/>
    <col min="10232" max="10248" width="11.64453125" style="104" customWidth="1"/>
    <col min="10249" max="10249" width="16.3515625" style="104" customWidth="1"/>
    <col min="10250" max="10250" width="13.87890625" style="104" customWidth="1"/>
    <col min="10251" max="10254" width="11.64453125" style="104" customWidth="1"/>
    <col min="10255" max="10255" width="20.1171875" style="104" customWidth="1"/>
    <col min="10256" max="10257" width="2.64453125" style="104" customWidth="1"/>
    <col min="10258" max="10476" width="8.87890625" style="104"/>
    <col min="10477" max="10477" width="14.3515625" style="104" customWidth="1"/>
    <col min="10478" max="10478" width="21.87890625" style="104" customWidth="1"/>
    <col min="10479" max="10479" width="16" style="104" customWidth="1"/>
    <col min="10480" max="10480" width="54" style="104" customWidth="1"/>
    <col min="10481" max="10481" width="22.1171875" style="104" customWidth="1"/>
    <col min="10482" max="10482" width="21.46875" style="104" customWidth="1"/>
    <col min="10483" max="10483" width="17.87890625" style="104" customWidth="1"/>
    <col min="10484" max="10484" width="17" style="104" customWidth="1"/>
    <col min="10485" max="10486" width="28.1171875" style="104" customWidth="1"/>
    <col min="10487" max="10487" width="26.46875" style="104" customWidth="1"/>
    <col min="10488" max="10504" width="11.64453125" style="104" customWidth="1"/>
    <col min="10505" max="10505" width="16.3515625" style="104" customWidth="1"/>
    <col min="10506" max="10506" width="13.87890625" style="104" customWidth="1"/>
    <col min="10507" max="10510" width="11.64453125" style="104" customWidth="1"/>
    <col min="10511" max="10511" width="20.1171875" style="104" customWidth="1"/>
    <col min="10512" max="10513" width="2.64453125" style="104" customWidth="1"/>
    <col min="10514" max="10732" width="8.87890625" style="104"/>
    <col min="10733" max="10733" width="14.3515625" style="104" customWidth="1"/>
    <col min="10734" max="10734" width="21.87890625" style="104" customWidth="1"/>
    <col min="10735" max="10735" width="16" style="104" customWidth="1"/>
    <col min="10736" max="10736" width="54" style="104" customWidth="1"/>
    <col min="10737" max="10737" width="22.1171875" style="104" customWidth="1"/>
    <col min="10738" max="10738" width="21.46875" style="104" customWidth="1"/>
    <col min="10739" max="10739" width="17.87890625" style="104" customWidth="1"/>
    <col min="10740" max="10740" width="17" style="104" customWidth="1"/>
    <col min="10741" max="10742" width="28.1171875" style="104" customWidth="1"/>
    <col min="10743" max="10743" width="26.46875" style="104" customWidth="1"/>
    <col min="10744" max="10760" width="11.64453125" style="104" customWidth="1"/>
    <col min="10761" max="10761" width="16.3515625" style="104" customWidth="1"/>
    <col min="10762" max="10762" width="13.87890625" style="104" customWidth="1"/>
    <col min="10763" max="10766" width="11.64453125" style="104" customWidth="1"/>
    <col min="10767" max="10767" width="20.1171875" style="104" customWidth="1"/>
    <col min="10768" max="10769" width="2.64453125" style="104" customWidth="1"/>
    <col min="10770" max="10988" width="8.87890625" style="104"/>
    <col min="10989" max="10989" width="14.3515625" style="104" customWidth="1"/>
    <col min="10990" max="10990" width="21.87890625" style="104" customWidth="1"/>
    <col min="10991" max="10991" width="16" style="104" customWidth="1"/>
    <col min="10992" max="10992" width="54" style="104" customWidth="1"/>
    <col min="10993" max="10993" width="22.1171875" style="104" customWidth="1"/>
    <col min="10994" max="10994" width="21.46875" style="104" customWidth="1"/>
    <col min="10995" max="10995" width="17.87890625" style="104" customWidth="1"/>
    <col min="10996" max="10996" width="17" style="104" customWidth="1"/>
    <col min="10997" max="10998" width="28.1171875" style="104" customWidth="1"/>
    <col min="10999" max="10999" width="26.46875" style="104" customWidth="1"/>
    <col min="11000" max="11016" width="11.64453125" style="104" customWidth="1"/>
    <col min="11017" max="11017" width="16.3515625" style="104" customWidth="1"/>
    <col min="11018" max="11018" width="13.87890625" style="104" customWidth="1"/>
    <col min="11019" max="11022" width="11.64453125" style="104" customWidth="1"/>
    <col min="11023" max="11023" width="20.1171875" style="104" customWidth="1"/>
    <col min="11024" max="11025" width="2.64453125" style="104" customWidth="1"/>
    <col min="11026" max="11244" width="8.87890625" style="104"/>
    <col min="11245" max="11245" width="14.3515625" style="104" customWidth="1"/>
    <col min="11246" max="11246" width="21.87890625" style="104" customWidth="1"/>
    <col min="11247" max="11247" width="16" style="104" customWidth="1"/>
    <col min="11248" max="11248" width="54" style="104" customWidth="1"/>
    <col min="11249" max="11249" width="22.1171875" style="104" customWidth="1"/>
    <col min="11250" max="11250" width="21.46875" style="104" customWidth="1"/>
    <col min="11251" max="11251" width="17.87890625" style="104" customWidth="1"/>
    <col min="11252" max="11252" width="17" style="104" customWidth="1"/>
    <col min="11253" max="11254" width="28.1171875" style="104" customWidth="1"/>
    <col min="11255" max="11255" width="26.46875" style="104" customWidth="1"/>
    <col min="11256" max="11272" width="11.64453125" style="104" customWidth="1"/>
    <col min="11273" max="11273" width="16.3515625" style="104" customWidth="1"/>
    <col min="11274" max="11274" width="13.87890625" style="104" customWidth="1"/>
    <col min="11275" max="11278" width="11.64453125" style="104" customWidth="1"/>
    <col min="11279" max="11279" width="20.1171875" style="104" customWidth="1"/>
    <col min="11280" max="11281" width="2.64453125" style="104" customWidth="1"/>
    <col min="11282" max="11500" width="8.87890625" style="104"/>
    <col min="11501" max="11501" width="14.3515625" style="104" customWidth="1"/>
    <col min="11502" max="11502" width="21.87890625" style="104" customWidth="1"/>
    <col min="11503" max="11503" width="16" style="104" customWidth="1"/>
    <col min="11504" max="11504" width="54" style="104" customWidth="1"/>
    <col min="11505" max="11505" width="22.1171875" style="104" customWidth="1"/>
    <col min="11506" max="11506" width="21.46875" style="104" customWidth="1"/>
    <col min="11507" max="11507" width="17.87890625" style="104" customWidth="1"/>
    <col min="11508" max="11508" width="17" style="104" customWidth="1"/>
    <col min="11509" max="11510" width="28.1171875" style="104" customWidth="1"/>
    <col min="11511" max="11511" width="26.46875" style="104" customWidth="1"/>
    <col min="11512" max="11528" width="11.64453125" style="104" customWidth="1"/>
    <col min="11529" max="11529" width="16.3515625" style="104" customWidth="1"/>
    <col min="11530" max="11530" width="13.87890625" style="104" customWidth="1"/>
    <col min="11531" max="11534" width="11.64453125" style="104" customWidth="1"/>
    <col min="11535" max="11535" width="20.1171875" style="104" customWidth="1"/>
    <col min="11536" max="11537" width="2.64453125" style="104" customWidth="1"/>
    <col min="11538" max="11756" width="8.87890625" style="104"/>
    <col min="11757" max="11757" width="14.3515625" style="104" customWidth="1"/>
    <col min="11758" max="11758" width="21.87890625" style="104" customWidth="1"/>
    <col min="11759" max="11759" width="16" style="104" customWidth="1"/>
    <col min="11760" max="11760" width="54" style="104" customWidth="1"/>
    <col min="11761" max="11761" width="22.1171875" style="104" customWidth="1"/>
    <col min="11762" max="11762" width="21.46875" style="104" customWidth="1"/>
    <col min="11763" max="11763" width="17.87890625" style="104" customWidth="1"/>
    <col min="11764" max="11764" width="17" style="104" customWidth="1"/>
    <col min="11765" max="11766" width="28.1171875" style="104" customWidth="1"/>
    <col min="11767" max="11767" width="26.46875" style="104" customWidth="1"/>
    <col min="11768" max="11784" width="11.64453125" style="104" customWidth="1"/>
    <col min="11785" max="11785" width="16.3515625" style="104" customWidth="1"/>
    <col min="11786" max="11786" width="13.87890625" style="104" customWidth="1"/>
    <col min="11787" max="11790" width="11.64453125" style="104" customWidth="1"/>
    <col min="11791" max="11791" width="20.1171875" style="104" customWidth="1"/>
    <col min="11792" max="11793" width="2.64453125" style="104" customWidth="1"/>
    <col min="11794" max="12012" width="8.87890625" style="104"/>
    <col min="12013" max="12013" width="14.3515625" style="104" customWidth="1"/>
    <col min="12014" max="12014" width="21.87890625" style="104" customWidth="1"/>
    <col min="12015" max="12015" width="16" style="104" customWidth="1"/>
    <col min="12016" max="12016" width="54" style="104" customWidth="1"/>
    <col min="12017" max="12017" width="22.1171875" style="104" customWidth="1"/>
    <col min="12018" max="12018" width="21.46875" style="104" customWidth="1"/>
    <col min="12019" max="12019" width="17.87890625" style="104" customWidth="1"/>
    <col min="12020" max="12020" width="17" style="104" customWidth="1"/>
    <col min="12021" max="12022" width="28.1171875" style="104" customWidth="1"/>
    <col min="12023" max="12023" width="26.46875" style="104" customWidth="1"/>
    <col min="12024" max="12040" width="11.64453125" style="104" customWidth="1"/>
    <col min="12041" max="12041" width="16.3515625" style="104" customWidth="1"/>
    <col min="12042" max="12042" width="13.87890625" style="104" customWidth="1"/>
    <col min="12043" max="12046" width="11.64453125" style="104" customWidth="1"/>
    <col min="12047" max="12047" width="20.1171875" style="104" customWidth="1"/>
    <col min="12048" max="12049" width="2.64453125" style="104" customWidth="1"/>
    <col min="12050" max="12268" width="8.87890625" style="104"/>
    <col min="12269" max="12269" width="14.3515625" style="104" customWidth="1"/>
    <col min="12270" max="12270" width="21.87890625" style="104" customWidth="1"/>
    <col min="12271" max="12271" width="16" style="104" customWidth="1"/>
    <col min="12272" max="12272" width="54" style="104" customWidth="1"/>
    <col min="12273" max="12273" width="22.1171875" style="104" customWidth="1"/>
    <col min="12274" max="12274" width="21.46875" style="104" customWidth="1"/>
    <col min="12275" max="12275" width="17.87890625" style="104" customWidth="1"/>
    <col min="12276" max="12276" width="17" style="104" customWidth="1"/>
    <col min="12277" max="12278" width="28.1171875" style="104" customWidth="1"/>
    <col min="12279" max="12279" width="26.46875" style="104" customWidth="1"/>
    <col min="12280" max="12296" width="11.64453125" style="104" customWidth="1"/>
    <col min="12297" max="12297" width="16.3515625" style="104" customWidth="1"/>
    <col min="12298" max="12298" width="13.87890625" style="104" customWidth="1"/>
    <col min="12299" max="12302" width="11.64453125" style="104" customWidth="1"/>
    <col min="12303" max="12303" width="20.1171875" style="104" customWidth="1"/>
    <col min="12304" max="12305" width="2.64453125" style="104" customWidth="1"/>
    <col min="12306" max="12524" width="8.87890625" style="104"/>
    <col min="12525" max="12525" width="14.3515625" style="104" customWidth="1"/>
    <col min="12526" max="12526" width="21.87890625" style="104" customWidth="1"/>
    <col min="12527" max="12527" width="16" style="104" customWidth="1"/>
    <col min="12528" max="12528" width="54" style="104" customWidth="1"/>
    <col min="12529" max="12529" width="22.1171875" style="104" customWidth="1"/>
    <col min="12530" max="12530" width="21.46875" style="104" customWidth="1"/>
    <col min="12531" max="12531" width="17.87890625" style="104" customWidth="1"/>
    <col min="12532" max="12532" width="17" style="104" customWidth="1"/>
    <col min="12533" max="12534" width="28.1171875" style="104" customWidth="1"/>
    <col min="12535" max="12535" width="26.46875" style="104" customWidth="1"/>
    <col min="12536" max="12552" width="11.64453125" style="104" customWidth="1"/>
    <col min="12553" max="12553" width="16.3515625" style="104" customWidth="1"/>
    <col min="12554" max="12554" width="13.87890625" style="104" customWidth="1"/>
    <col min="12555" max="12558" width="11.64453125" style="104" customWidth="1"/>
    <col min="12559" max="12559" width="20.1171875" style="104" customWidth="1"/>
    <col min="12560" max="12561" width="2.64453125" style="104" customWidth="1"/>
    <col min="12562" max="12780" width="8.87890625" style="104"/>
    <col min="12781" max="12781" width="14.3515625" style="104" customWidth="1"/>
    <col min="12782" max="12782" width="21.87890625" style="104" customWidth="1"/>
    <col min="12783" max="12783" width="16" style="104" customWidth="1"/>
    <col min="12784" max="12784" width="54" style="104" customWidth="1"/>
    <col min="12785" max="12785" width="22.1171875" style="104" customWidth="1"/>
    <col min="12786" max="12786" width="21.46875" style="104" customWidth="1"/>
    <col min="12787" max="12787" width="17.87890625" style="104" customWidth="1"/>
    <col min="12788" max="12788" width="17" style="104" customWidth="1"/>
    <col min="12789" max="12790" width="28.1171875" style="104" customWidth="1"/>
    <col min="12791" max="12791" width="26.46875" style="104" customWidth="1"/>
    <col min="12792" max="12808" width="11.64453125" style="104" customWidth="1"/>
    <col min="12809" max="12809" width="16.3515625" style="104" customWidth="1"/>
    <col min="12810" max="12810" width="13.87890625" style="104" customWidth="1"/>
    <col min="12811" max="12814" width="11.64453125" style="104" customWidth="1"/>
    <col min="12815" max="12815" width="20.1171875" style="104" customWidth="1"/>
    <col min="12816" max="12817" width="2.64453125" style="104" customWidth="1"/>
    <col min="12818" max="13036" width="8.87890625" style="104"/>
    <col min="13037" max="13037" width="14.3515625" style="104" customWidth="1"/>
    <col min="13038" max="13038" width="21.87890625" style="104" customWidth="1"/>
    <col min="13039" max="13039" width="16" style="104" customWidth="1"/>
    <col min="13040" max="13040" width="54" style="104" customWidth="1"/>
    <col min="13041" max="13041" width="22.1171875" style="104" customWidth="1"/>
    <col min="13042" max="13042" width="21.46875" style="104" customWidth="1"/>
    <col min="13043" max="13043" width="17.87890625" style="104" customWidth="1"/>
    <col min="13044" max="13044" width="17" style="104" customWidth="1"/>
    <col min="13045" max="13046" width="28.1171875" style="104" customWidth="1"/>
    <col min="13047" max="13047" width="26.46875" style="104" customWidth="1"/>
    <col min="13048" max="13064" width="11.64453125" style="104" customWidth="1"/>
    <col min="13065" max="13065" width="16.3515625" style="104" customWidth="1"/>
    <col min="13066" max="13066" width="13.87890625" style="104" customWidth="1"/>
    <col min="13067" max="13070" width="11.64453125" style="104" customWidth="1"/>
    <col min="13071" max="13071" width="20.1171875" style="104" customWidth="1"/>
    <col min="13072" max="13073" width="2.64453125" style="104" customWidth="1"/>
    <col min="13074" max="13292" width="8.87890625" style="104"/>
    <col min="13293" max="13293" width="14.3515625" style="104" customWidth="1"/>
    <col min="13294" max="13294" width="21.87890625" style="104" customWidth="1"/>
    <col min="13295" max="13295" width="16" style="104" customWidth="1"/>
    <col min="13296" max="13296" width="54" style="104" customWidth="1"/>
    <col min="13297" max="13297" width="22.1171875" style="104" customWidth="1"/>
    <col min="13298" max="13298" width="21.46875" style="104" customWidth="1"/>
    <col min="13299" max="13299" width="17.87890625" style="104" customWidth="1"/>
    <col min="13300" max="13300" width="17" style="104" customWidth="1"/>
    <col min="13301" max="13302" width="28.1171875" style="104" customWidth="1"/>
    <col min="13303" max="13303" width="26.46875" style="104" customWidth="1"/>
    <col min="13304" max="13320" width="11.64453125" style="104" customWidth="1"/>
    <col min="13321" max="13321" width="16.3515625" style="104" customWidth="1"/>
    <col min="13322" max="13322" width="13.87890625" style="104" customWidth="1"/>
    <col min="13323" max="13326" width="11.64453125" style="104" customWidth="1"/>
    <col min="13327" max="13327" width="20.1171875" style="104" customWidth="1"/>
    <col min="13328" max="13329" width="2.64453125" style="104" customWidth="1"/>
    <col min="13330" max="13548" width="8.87890625" style="104"/>
    <col min="13549" max="13549" width="14.3515625" style="104" customWidth="1"/>
    <col min="13550" max="13550" width="21.87890625" style="104" customWidth="1"/>
    <col min="13551" max="13551" width="16" style="104" customWidth="1"/>
    <col min="13552" max="13552" width="54" style="104" customWidth="1"/>
    <col min="13553" max="13553" width="22.1171875" style="104" customWidth="1"/>
    <col min="13554" max="13554" width="21.46875" style="104" customWidth="1"/>
    <col min="13555" max="13555" width="17.87890625" style="104" customWidth="1"/>
    <col min="13556" max="13556" width="17" style="104" customWidth="1"/>
    <col min="13557" max="13558" width="28.1171875" style="104" customWidth="1"/>
    <col min="13559" max="13559" width="26.46875" style="104" customWidth="1"/>
    <col min="13560" max="13576" width="11.64453125" style="104" customWidth="1"/>
    <col min="13577" max="13577" width="16.3515625" style="104" customWidth="1"/>
    <col min="13578" max="13578" width="13.87890625" style="104" customWidth="1"/>
    <col min="13579" max="13582" width="11.64453125" style="104" customWidth="1"/>
    <col min="13583" max="13583" width="20.1171875" style="104" customWidth="1"/>
    <col min="13584" max="13585" width="2.64453125" style="104" customWidth="1"/>
    <col min="13586" max="13804" width="8.87890625" style="104"/>
    <col min="13805" max="13805" width="14.3515625" style="104" customWidth="1"/>
    <col min="13806" max="13806" width="21.87890625" style="104" customWidth="1"/>
    <col min="13807" max="13807" width="16" style="104" customWidth="1"/>
    <col min="13808" max="13808" width="54" style="104" customWidth="1"/>
    <col min="13809" max="13809" width="22.1171875" style="104" customWidth="1"/>
    <col min="13810" max="13810" width="21.46875" style="104" customWidth="1"/>
    <col min="13811" max="13811" width="17.87890625" style="104" customWidth="1"/>
    <col min="13812" max="13812" width="17" style="104" customWidth="1"/>
    <col min="13813" max="13814" width="28.1171875" style="104" customWidth="1"/>
    <col min="13815" max="13815" width="26.46875" style="104" customWidth="1"/>
    <col min="13816" max="13832" width="11.64453125" style="104" customWidth="1"/>
    <col min="13833" max="13833" width="16.3515625" style="104" customWidth="1"/>
    <col min="13834" max="13834" width="13.87890625" style="104" customWidth="1"/>
    <col min="13835" max="13838" width="11.64453125" style="104" customWidth="1"/>
    <col min="13839" max="13839" width="20.1171875" style="104" customWidth="1"/>
    <col min="13840" max="13841" width="2.64453125" style="104" customWidth="1"/>
    <col min="13842" max="14060" width="8.87890625" style="104"/>
    <col min="14061" max="14061" width="14.3515625" style="104" customWidth="1"/>
    <col min="14062" max="14062" width="21.87890625" style="104" customWidth="1"/>
    <col min="14063" max="14063" width="16" style="104" customWidth="1"/>
    <col min="14064" max="14064" width="54" style="104" customWidth="1"/>
    <col min="14065" max="14065" width="22.1171875" style="104" customWidth="1"/>
    <col min="14066" max="14066" width="21.46875" style="104" customWidth="1"/>
    <col min="14067" max="14067" width="17.87890625" style="104" customWidth="1"/>
    <col min="14068" max="14068" width="17" style="104" customWidth="1"/>
    <col min="14069" max="14070" width="28.1171875" style="104" customWidth="1"/>
    <col min="14071" max="14071" width="26.46875" style="104" customWidth="1"/>
    <col min="14072" max="14088" width="11.64453125" style="104" customWidth="1"/>
    <col min="14089" max="14089" width="16.3515625" style="104" customWidth="1"/>
    <col min="14090" max="14090" width="13.87890625" style="104" customWidth="1"/>
    <col min="14091" max="14094" width="11.64453125" style="104" customWidth="1"/>
    <col min="14095" max="14095" width="20.1171875" style="104" customWidth="1"/>
    <col min="14096" max="14097" width="2.64453125" style="104" customWidth="1"/>
    <col min="14098" max="14316" width="8.87890625" style="104"/>
    <col min="14317" max="14317" width="14.3515625" style="104" customWidth="1"/>
    <col min="14318" max="14318" width="21.87890625" style="104" customWidth="1"/>
    <col min="14319" max="14319" width="16" style="104" customWidth="1"/>
    <col min="14320" max="14320" width="54" style="104" customWidth="1"/>
    <col min="14321" max="14321" width="22.1171875" style="104" customWidth="1"/>
    <col min="14322" max="14322" width="21.46875" style="104" customWidth="1"/>
    <col min="14323" max="14323" width="17.87890625" style="104" customWidth="1"/>
    <col min="14324" max="14324" width="17" style="104" customWidth="1"/>
    <col min="14325" max="14326" width="28.1171875" style="104" customWidth="1"/>
    <col min="14327" max="14327" width="26.46875" style="104" customWidth="1"/>
    <col min="14328" max="14344" width="11.64453125" style="104" customWidth="1"/>
    <col min="14345" max="14345" width="16.3515625" style="104" customWidth="1"/>
    <col min="14346" max="14346" width="13.87890625" style="104" customWidth="1"/>
    <col min="14347" max="14350" width="11.64453125" style="104" customWidth="1"/>
    <col min="14351" max="14351" width="20.1171875" style="104" customWidth="1"/>
    <col min="14352" max="14353" width="2.64453125" style="104" customWidth="1"/>
    <col min="14354" max="14572" width="8.87890625" style="104"/>
    <col min="14573" max="14573" width="14.3515625" style="104" customWidth="1"/>
    <col min="14574" max="14574" width="21.87890625" style="104" customWidth="1"/>
    <col min="14575" max="14575" width="16" style="104" customWidth="1"/>
    <col min="14576" max="14576" width="54" style="104" customWidth="1"/>
    <col min="14577" max="14577" width="22.1171875" style="104" customWidth="1"/>
    <col min="14578" max="14578" width="21.46875" style="104" customWidth="1"/>
    <col min="14579" max="14579" width="17.87890625" style="104" customWidth="1"/>
    <col min="14580" max="14580" width="17" style="104" customWidth="1"/>
    <col min="14581" max="14582" width="28.1171875" style="104" customWidth="1"/>
    <col min="14583" max="14583" width="26.46875" style="104" customWidth="1"/>
    <col min="14584" max="14600" width="11.64453125" style="104" customWidth="1"/>
    <col min="14601" max="14601" width="16.3515625" style="104" customWidth="1"/>
    <col min="14602" max="14602" width="13.87890625" style="104" customWidth="1"/>
    <col min="14603" max="14606" width="11.64453125" style="104" customWidth="1"/>
    <col min="14607" max="14607" width="20.1171875" style="104" customWidth="1"/>
    <col min="14608" max="14609" width="2.64453125" style="104" customWidth="1"/>
    <col min="14610" max="14828" width="8.87890625" style="104"/>
    <col min="14829" max="14829" width="14.3515625" style="104" customWidth="1"/>
    <col min="14830" max="14830" width="21.87890625" style="104" customWidth="1"/>
    <col min="14831" max="14831" width="16" style="104" customWidth="1"/>
    <col min="14832" max="14832" width="54" style="104" customWidth="1"/>
    <col min="14833" max="14833" width="22.1171875" style="104" customWidth="1"/>
    <col min="14834" max="14834" width="21.46875" style="104" customWidth="1"/>
    <col min="14835" max="14835" width="17.87890625" style="104" customWidth="1"/>
    <col min="14836" max="14836" width="17" style="104" customWidth="1"/>
    <col min="14837" max="14838" width="28.1171875" style="104" customWidth="1"/>
    <col min="14839" max="14839" width="26.46875" style="104" customWidth="1"/>
    <col min="14840" max="14856" width="11.64453125" style="104" customWidth="1"/>
    <col min="14857" max="14857" width="16.3515625" style="104" customWidth="1"/>
    <col min="14858" max="14858" width="13.87890625" style="104" customWidth="1"/>
    <col min="14859" max="14862" width="11.64453125" style="104" customWidth="1"/>
    <col min="14863" max="14863" width="20.1171875" style="104" customWidth="1"/>
    <col min="14864" max="14865" width="2.64453125" style="104" customWidth="1"/>
    <col min="14866" max="15084" width="8.87890625" style="104"/>
    <col min="15085" max="15085" width="14.3515625" style="104" customWidth="1"/>
    <col min="15086" max="15086" width="21.87890625" style="104" customWidth="1"/>
    <col min="15087" max="15087" width="16" style="104" customWidth="1"/>
    <col min="15088" max="15088" width="54" style="104" customWidth="1"/>
    <col min="15089" max="15089" width="22.1171875" style="104" customWidth="1"/>
    <col min="15090" max="15090" width="21.46875" style="104" customWidth="1"/>
    <col min="15091" max="15091" width="17.87890625" style="104" customWidth="1"/>
    <col min="15092" max="15092" width="17" style="104" customWidth="1"/>
    <col min="15093" max="15094" width="28.1171875" style="104" customWidth="1"/>
    <col min="15095" max="15095" width="26.46875" style="104" customWidth="1"/>
    <col min="15096" max="15112" width="11.64453125" style="104" customWidth="1"/>
    <col min="15113" max="15113" width="16.3515625" style="104" customWidth="1"/>
    <col min="15114" max="15114" width="13.87890625" style="104" customWidth="1"/>
    <col min="15115" max="15118" width="11.64453125" style="104" customWidth="1"/>
    <col min="15119" max="15119" width="20.1171875" style="104" customWidth="1"/>
    <col min="15120" max="15121" width="2.64453125" style="104" customWidth="1"/>
    <col min="15122" max="15340" width="8.87890625" style="104"/>
    <col min="15341" max="15341" width="14.3515625" style="104" customWidth="1"/>
    <col min="15342" max="15342" width="21.87890625" style="104" customWidth="1"/>
    <col min="15343" max="15343" width="16" style="104" customWidth="1"/>
    <col min="15344" max="15344" width="54" style="104" customWidth="1"/>
    <col min="15345" max="15345" width="22.1171875" style="104" customWidth="1"/>
    <col min="15346" max="15346" width="21.46875" style="104" customWidth="1"/>
    <col min="15347" max="15347" width="17.87890625" style="104" customWidth="1"/>
    <col min="15348" max="15348" width="17" style="104" customWidth="1"/>
    <col min="15349" max="15350" width="28.1171875" style="104" customWidth="1"/>
    <col min="15351" max="15351" width="26.46875" style="104" customWidth="1"/>
    <col min="15352" max="15368" width="11.64453125" style="104" customWidth="1"/>
    <col min="15369" max="15369" width="16.3515625" style="104" customWidth="1"/>
    <col min="15370" max="15370" width="13.87890625" style="104" customWidth="1"/>
    <col min="15371" max="15374" width="11.64453125" style="104" customWidth="1"/>
    <col min="15375" max="15375" width="20.1171875" style="104" customWidth="1"/>
    <col min="15376" max="15377" width="2.64453125" style="104" customWidth="1"/>
    <col min="15378" max="15596" width="8.87890625" style="104"/>
    <col min="15597" max="15597" width="14.3515625" style="104" customWidth="1"/>
    <col min="15598" max="15598" width="21.87890625" style="104" customWidth="1"/>
    <col min="15599" max="15599" width="16" style="104" customWidth="1"/>
    <col min="15600" max="15600" width="54" style="104" customWidth="1"/>
    <col min="15601" max="15601" width="22.1171875" style="104" customWidth="1"/>
    <col min="15602" max="15602" width="21.46875" style="104" customWidth="1"/>
    <col min="15603" max="15603" width="17.87890625" style="104" customWidth="1"/>
    <col min="15604" max="15604" width="17" style="104" customWidth="1"/>
    <col min="15605" max="15606" width="28.1171875" style="104" customWidth="1"/>
    <col min="15607" max="15607" width="26.46875" style="104" customWidth="1"/>
    <col min="15608" max="15624" width="11.64453125" style="104" customWidth="1"/>
    <col min="15625" max="15625" width="16.3515625" style="104" customWidth="1"/>
    <col min="15626" max="15626" width="13.87890625" style="104" customWidth="1"/>
    <col min="15627" max="15630" width="11.64453125" style="104" customWidth="1"/>
    <col min="15631" max="15631" width="20.1171875" style="104" customWidth="1"/>
    <col min="15632" max="15633" width="2.64453125" style="104" customWidth="1"/>
    <col min="15634" max="15852" width="8.87890625" style="104"/>
    <col min="15853" max="15853" width="14.3515625" style="104" customWidth="1"/>
    <col min="15854" max="15854" width="21.87890625" style="104" customWidth="1"/>
    <col min="15855" max="15855" width="16" style="104" customWidth="1"/>
    <col min="15856" max="15856" width="54" style="104" customWidth="1"/>
    <col min="15857" max="15857" width="22.1171875" style="104" customWidth="1"/>
    <col min="15858" max="15858" width="21.46875" style="104" customWidth="1"/>
    <col min="15859" max="15859" width="17.87890625" style="104" customWidth="1"/>
    <col min="15860" max="15860" width="17" style="104" customWidth="1"/>
    <col min="15861" max="15862" width="28.1171875" style="104" customWidth="1"/>
    <col min="15863" max="15863" width="26.46875" style="104" customWidth="1"/>
    <col min="15864" max="15880" width="11.64453125" style="104" customWidth="1"/>
    <col min="15881" max="15881" width="16.3515625" style="104" customWidth="1"/>
    <col min="15882" max="15882" width="13.87890625" style="104" customWidth="1"/>
    <col min="15883" max="15886" width="11.64453125" style="104" customWidth="1"/>
    <col min="15887" max="15887" width="20.1171875" style="104" customWidth="1"/>
    <col min="15888" max="15889" width="2.64453125" style="104" customWidth="1"/>
    <col min="15890" max="16108" width="8.87890625" style="104"/>
    <col min="16109" max="16109" width="14.3515625" style="104" customWidth="1"/>
    <col min="16110" max="16110" width="21.87890625" style="104" customWidth="1"/>
    <col min="16111" max="16111" width="16" style="104" customWidth="1"/>
    <col min="16112" max="16112" width="54" style="104" customWidth="1"/>
    <col min="16113" max="16113" width="22.1171875" style="104" customWidth="1"/>
    <col min="16114" max="16114" width="21.46875" style="104" customWidth="1"/>
    <col min="16115" max="16115" width="17.87890625" style="104" customWidth="1"/>
    <col min="16116" max="16116" width="17" style="104" customWidth="1"/>
    <col min="16117" max="16118" width="28.1171875" style="104" customWidth="1"/>
    <col min="16119" max="16119" width="26.46875" style="104" customWidth="1"/>
    <col min="16120" max="16136" width="11.64453125" style="104" customWidth="1"/>
    <col min="16137" max="16137" width="16.3515625" style="104" customWidth="1"/>
    <col min="16138" max="16138" width="13.87890625" style="104" customWidth="1"/>
    <col min="16139" max="16142" width="11.64453125" style="104" customWidth="1"/>
    <col min="16143" max="16143" width="20.1171875" style="104" customWidth="1"/>
    <col min="16144" max="16145" width="2.64453125" style="104" customWidth="1"/>
    <col min="16146" max="16384" width="8.87890625" style="104"/>
  </cols>
  <sheetData>
    <row r="1" spans="1:46" s="7" customFormat="1" ht="39.950000000000003" customHeight="1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46" s="7" customFormat="1" ht="39.950000000000003" customHeight="1">
      <c r="A2" s="1" t="s">
        <v>2</v>
      </c>
      <c r="B2" s="8"/>
      <c r="C2" s="9" t="s">
        <v>3</v>
      </c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46" s="7" customFormat="1" ht="39.950000000000003" customHeight="1">
      <c r="A3" s="1" t="s">
        <v>4</v>
      </c>
      <c r="B3" s="8"/>
      <c r="C3" s="9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46" s="7" customFormat="1" ht="39.950000000000003" customHeight="1">
      <c r="A4" s="1" t="s">
        <v>5</v>
      </c>
      <c r="B4" s="8"/>
      <c r="C4" s="3" t="s">
        <v>6</v>
      </c>
      <c r="D4" s="4"/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46" s="7" customFormat="1" ht="39.950000000000003" customHeight="1">
      <c r="A5" s="1" t="s">
        <v>7</v>
      </c>
      <c r="B5" s="8"/>
      <c r="C5" s="9"/>
      <c r="D5" s="4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46" s="7" customFormat="1" ht="39.950000000000003" customHeight="1">
      <c r="A6" s="1" t="s">
        <v>8</v>
      </c>
      <c r="B6" s="8"/>
      <c r="C6" s="9" t="s">
        <v>9</v>
      </c>
      <c r="D6" s="4"/>
      <c r="E6" s="4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46" s="16" customFormat="1" ht="39.950000000000003" customHeight="1" thickBot="1">
      <c r="A7" s="11"/>
      <c r="B7" s="11"/>
      <c r="C7" s="11"/>
      <c r="D7" s="12"/>
      <c r="E7" s="12"/>
      <c r="F7" s="12"/>
      <c r="G7" s="12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46" s="26" customFormat="1" ht="41.85" customHeight="1" thickBot="1">
      <c r="A8" s="17" t="s">
        <v>10</v>
      </c>
      <c r="B8" s="18" t="s">
        <v>11</v>
      </c>
      <c r="C8" s="18" t="s">
        <v>12</v>
      </c>
      <c r="D8" s="19" t="s">
        <v>13</v>
      </c>
      <c r="E8" s="18" t="s">
        <v>14</v>
      </c>
      <c r="F8" s="18" t="s">
        <v>15</v>
      </c>
      <c r="G8" s="20" t="s">
        <v>16</v>
      </c>
      <c r="H8" s="21" t="s">
        <v>17</v>
      </c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 t="s">
        <v>18</v>
      </c>
      <c r="V8" s="23"/>
      <c r="W8" s="24"/>
      <c r="X8" s="24"/>
      <c r="Y8" s="24" t="s">
        <v>18</v>
      </c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/>
    </row>
    <row r="9" spans="1:46" s="26" customFormat="1" ht="41.85" customHeight="1">
      <c r="A9" s="27"/>
      <c r="B9" s="28"/>
      <c r="C9" s="28"/>
      <c r="D9" s="29"/>
      <c r="E9" s="28"/>
      <c r="F9" s="28"/>
      <c r="G9" s="30"/>
      <c r="H9" s="31"/>
      <c r="I9" s="32">
        <v>1</v>
      </c>
      <c r="J9" s="33">
        <v>2</v>
      </c>
      <c r="K9" s="33">
        <v>3</v>
      </c>
      <c r="L9" s="33">
        <v>4</v>
      </c>
      <c r="M9" s="33">
        <v>5</v>
      </c>
      <c r="N9" s="33">
        <v>6</v>
      </c>
      <c r="O9" s="33">
        <v>7</v>
      </c>
      <c r="P9" s="33">
        <v>8</v>
      </c>
      <c r="Q9" s="33">
        <v>9</v>
      </c>
      <c r="R9" s="33">
        <v>10</v>
      </c>
      <c r="S9" s="33">
        <v>11</v>
      </c>
      <c r="T9" s="33">
        <v>12</v>
      </c>
      <c r="U9" s="34">
        <v>46216</v>
      </c>
      <c r="V9" s="35">
        <f>U9+1</f>
        <v>46217</v>
      </c>
      <c r="W9" s="35">
        <f t="shared" ref="W9:AL9" si="0">V9+1</f>
        <v>46218</v>
      </c>
      <c r="X9" s="35">
        <f t="shared" si="0"/>
        <v>46219</v>
      </c>
      <c r="Y9" s="35">
        <f>X9+1</f>
        <v>46220</v>
      </c>
      <c r="Z9" s="35">
        <f t="shared" si="0"/>
        <v>46221</v>
      </c>
      <c r="AA9" s="35">
        <f t="shared" si="0"/>
        <v>46222</v>
      </c>
      <c r="AB9" s="35">
        <f t="shared" si="0"/>
        <v>46223</v>
      </c>
      <c r="AC9" s="35">
        <f t="shared" si="0"/>
        <v>46224</v>
      </c>
      <c r="AD9" s="35">
        <f t="shared" si="0"/>
        <v>46225</v>
      </c>
      <c r="AE9" s="35">
        <f t="shared" si="0"/>
        <v>46226</v>
      </c>
      <c r="AF9" s="35">
        <f t="shared" si="0"/>
        <v>46227</v>
      </c>
      <c r="AG9" s="35">
        <f t="shared" si="0"/>
        <v>46228</v>
      </c>
      <c r="AH9" s="35">
        <f t="shared" si="0"/>
        <v>46229</v>
      </c>
      <c r="AI9" s="35">
        <f t="shared" si="0"/>
        <v>46230</v>
      </c>
      <c r="AJ9" s="35">
        <f t="shared" si="0"/>
        <v>46231</v>
      </c>
      <c r="AK9" s="35">
        <f t="shared" si="0"/>
        <v>46232</v>
      </c>
      <c r="AL9" s="36">
        <f t="shared" si="0"/>
        <v>46233</v>
      </c>
    </row>
    <row r="10" spans="1:46" s="26" customFormat="1" ht="41.85" customHeight="1" thickBot="1">
      <c r="A10" s="37"/>
      <c r="B10" s="38"/>
      <c r="C10" s="38"/>
      <c r="D10" s="39"/>
      <c r="E10" s="38"/>
      <c r="F10" s="38"/>
      <c r="G10" s="40"/>
      <c r="H10" s="41"/>
      <c r="I10" s="42" t="s">
        <v>19</v>
      </c>
      <c r="J10" s="43" t="s">
        <v>20</v>
      </c>
      <c r="K10" s="43" t="s">
        <v>21</v>
      </c>
      <c r="L10" s="44" t="s">
        <v>22</v>
      </c>
      <c r="M10" s="44" t="s">
        <v>23</v>
      </c>
      <c r="N10" s="43" t="s">
        <v>24</v>
      </c>
      <c r="O10" s="43" t="s">
        <v>25</v>
      </c>
      <c r="P10" s="43" t="s">
        <v>26</v>
      </c>
      <c r="Q10" s="43" t="s">
        <v>20</v>
      </c>
      <c r="R10" s="43" t="s">
        <v>21</v>
      </c>
      <c r="S10" s="44" t="s">
        <v>22</v>
      </c>
      <c r="T10" s="44" t="s">
        <v>23</v>
      </c>
      <c r="U10" s="45" t="str">
        <f>MID("日一二三四五六",WEEKDAY(U9,1),1)</f>
        <v>一</v>
      </c>
      <c r="V10" s="46" t="str">
        <f t="shared" ref="V10:AL10" si="1">MID("日一二三四五六",WEEKDAY(V9,1),1)</f>
        <v>二</v>
      </c>
      <c r="W10" s="46" t="str">
        <f t="shared" si="1"/>
        <v>三</v>
      </c>
      <c r="X10" s="46" t="str">
        <f t="shared" si="1"/>
        <v>四</v>
      </c>
      <c r="Y10" s="45" t="str">
        <f>MID("日一二三四五六",WEEKDAY(Y9,1),1)</f>
        <v>五</v>
      </c>
      <c r="Z10" s="46" t="str">
        <f t="shared" si="1"/>
        <v>六</v>
      </c>
      <c r="AA10" s="46" t="str">
        <f t="shared" si="1"/>
        <v>日</v>
      </c>
      <c r="AB10" s="46" t="str">
        <f t="shared" si="1"/>
        <v>一</v>
      </c>
      <c r="AC10" s="46" t="str">
        <f t="shared" si="1"/>
        <v>二</v>
      </c>
      <c r="AD10" s="46" t="str">
        <f t="shared" si="1"/>
        <v>三</v>
      </c>
      <c r="AE10" s="46" t="str">
        <f t="shared" si="1"/>
        <v>四</v>
      </c>
      <c r="AF10" s="46" t="str">
        <f t="shared" si="1"/>
        <v>五</v>
      </c>
      <c r="AG10" s="46" t="str">
        <f t="shared" si="1"/>
        <v>六</v>
      </c>
      <c r="AH10" s="46" t="str">
        <f t="shared" si="1"/>
        <v>日</v>
      </c>
      <c r="AI10" s="46" t="str">
        <f t="shared" si="1"/>
        <v>一</v>
      </c>
      <c r="AJ10" s="46" t="str">
        <f t="shared" si="1"/>
        <v>二</v>
      </c>
      <c r="AK10" s="46" t="str">
        <f t="shared" si="1"/>
        <v>三</v>
      </c>
      <c r="AL10" s="47" t="str">
        <f t="shared" si="1"/>
        <v>四</v>
      </c>
      <c r="AT10" s="48" t="s">
        <v>27</v>
      </c>
    </row>
    <row r="11" spans="1:46" s="60" customFormat="1" ht="88.7" customHeight="1">
      <c r="A11" s="49" t="s">
        <v>44</v>
      </c>
      <c r="B11" s="50" t="s">
        <v>28</v>
      </c>
      <c r="C11" s="51" t="s">
        <v>29</v>
      </c>
      <c r="D11" s="52">
        <f>4000*F11*0.85</f>
        <v>1904000</v>
      </c>
      <c r="E11" s="53" t="s">
        <v>30</v>
      </c>
      <c r="F11" s="54">
        <f>SUM(I11:AL11)</f>
        <v>560</v>
      </c>
      <c r="G11" s="55">
        <f>250000/8400*F11*15</f>
        <v>250000.00000000003</v>
      </c>
      <c r="H11" s="56" t="s">
        <v>31</v>
      </c>
      <c r="I11" s="57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>
        <f>40</f>
        <v>40</v>
      </c>
      <c r="Z11" s="58">
        <f t="shared" ref="Z11:AL12" si="2">Y11</f>
        <v>40</v>
      </c>
      <c r="AA11" s="58">
        <f t="shared" si="2"/>
        <v>40</v>
      </c>
      <c r="AB11" s="58">
        <f t="shared" si="2"/>
        <v>40</v>
      </c>
      <c r="AC11" s="58">
        <f t="shared" si="2"/>
        <v>40</v>
      </c>
      <c r="AD11" s="58">
        <f t="shared" si="2"/>
        <v>40</v>
      </c>
      <c r="AE11" s="58">
        <f t="shared" si="2"/>
        <v>40</v>
      </c>
      <c r="AF11" s="58">
        <f t="shared" si="2"/>
        <v>40</v>
      </c>
      <c r="AG11" s="58">
        <f t="shared" si="2"/>
        <v>40</v>
      </c>
      <c r="AH11" s="58">
        <f t="shared" si="2"/>
        <v>40</v>
      </c>
      <c r="AI11" s="58">
        <f t="shared" si="2"/>
        <v>40</v>
      </c>
      <c r="AJ11" s="58">
        <f t="shared" si="2"/>
        <v>40</v>
      </c>
      <c r="AK11" s="58">
        <f t="shared" si="2"/>
        <v>40</v>
      </c>
      <c r="AL11" s="59">
        <f t="shared" si="2"/>
        <v>40</v>
      </c>
    </row>
    <row r="12" spans="1:46" s="60" customFormat="1" ht="88.7" customHeight="1">
      <c r="A12" s="61" t="s">
        <v>45</v>
      </c>
      <c r="B12" s="62"/>
      <c r="C12" s="63" t="s">
        <v>32</v>
      </c>
      <c r="D12" s="64" t="s">
        <v>33</v>
      </c>
      <c r="E12" s="65"/>
      <c r="F12" s="66">
        <f>SUM(I12:AL12)</f>
        <v>960</v>
      </c>
      <c r="G12" s="67"/>
      <c r="H12" s="68"/>
      <c r="I12" s="6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>
        <v>69</v>
      </c>
      <c r="Z12" s="70">
        <f t="shared" si="2"/>
        <v>69</v>
      </c>
      <c r="AA12" s="70">
        <f t="shared" si="2"/>
        <v>69</v>
      </c>
      <c r="AB12" s="70">
        <f t="shared" si="2"/>
        <v>69</v>
      </c>
      <c r="AC12" s="70">
        <v>69</v>
      </c>
      <c r="AD12" s="70">
        <f t="shared" si="2"/>
        <v>69</v>
      </c>
      <c r="AE12" s="70">
        <f t="shared" si="2"/>
        <v>69</v>
      </c>
      <c r="AF12" s="70">
        <f t="shared" si="2"/>
        <v>69</v>
      </c>
      <c r="AG12" s="70">
        <v>68</v>
      </c>
      <c r="AH12" s="70">
        <f t="shared" si="2"/>
        <v>68</v>
      </c>
      <c r="AI12" s="70">
        <f t="shared" si="2"/>
        <v>68</v>
      </c>
      <c r="AJ12" s="70">
        <f t="shared" si="2"/>
        <v>68</v>
      </c>
      <c r="AK12" s="70">
        <f t="shared" si="2"/>
        <v>68</v>
      </c>
      <c r="AL12" s="71">
        <f t="shared" si="2"/>
        <v>68</v>
      </c>
    </row>
    <row r="13" spans="1:46" s="60" customFormat="1" ht="88.7" customHeight="1">
      <c r="A13" s="72" t="s">
        <v>44</v>
      </c>
      <c r="B13" s="62" t="s">
        <v>28</v>
      </c>
      <c r="C13" s="63" t="s">
        <v>29</v>
      </c>
      <c r="D13" s="64">
        <f>4000*F13*0.85</f>
        <v>190400</v>
      </c>
      <c r="E13" s="65" t="s">
        <v>30</v>
      </c>
      <c r="F13" s="66">
        <f>SUM(I13:AL13)</f>
        <v>56</v>
      </c>
      <c r="G13" s="67" t="s">
        <v>34</v>
      </c>
      <c r="H13" s="68"/>
      <c r="I13" s="69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3">
        <v>56</v>
      </c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/>
    </row>
    <row r="14" spans="1:46" s="60" customFormat="1" ht="88.7" customHeight="1" thickBot="1">
      <c r="A14" s="75" t="s">
        <v>45</v>
      </c>
      <c r="B14" s="76"/>
      <c r="C14" s="77" t="s">
        <v>32</v>
      </c>
      <c r="D14" s="78" t="s">
        <v>33</v>
      </c>
      <c r="E14" s="79"/>
      <c r="F14" s="80">
        <f>SUM(I14:AL14)</f>
        <v>96</v>
      </c>
      <c r="G14" s="81"/>
      <c r="H14" s="82"/>
      <c r="I14" s="83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5">
        <v>96</v>
      </c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6"/>
    </row>
    <row r="15" spans="1:46" s="97" customFormat="1" ht="80.099999999999994" customHeight="1" thickBot="1">
      <c r="A15" s="87"/>
      <c r="B15" s="88" t="s">
        <v>16</v>
      </c>
      <c r="C15" s="88"/>
      <c r="D15" s="89">
        <f>SUM(D11:D12)</f>
        <v>1904000</v>
      </c>
      <c r="E15" s="90"/>
      <c r="F15" s="91">
        <f>SUM(F11:F14)</f>
        <v>1672</v>
      </c>
      <c r="G15" s="92">
        <f>SUM(G11)</f>
        <v>250000.00000000003</v>
      </c>
      <c r="H15" s="93"/>
      <c r="I15" s="94">
        <f t="shared" ref="I15:N15" si="3">SUM(I11:I12)</f>
        <v>0</v>
      </c>
      <c r="J15" s="95">
        <f t="shared" si="3"/>
        <v>0</v>
      </c>
      <c r="K15" s="95">
        <f t="shared" si="3"/>
        <v>0</v>
      </c>
      <c r="L15" s="95">
        <f t="shared" si="3"/>
        <v>0</v>
      </c>
      <c r="M15" s="95">
        <f t="shared" si="3"/>
        <v>0</v>
      </c>
      <c r="N15" s="95">
        <f t="shared" si="3"/>
        <v>0</v>
      </c>
      <c r="O15" s="95">
        <f t="shared" ref="O15:AL15" si="4">O11+O12</f>
        <v>0</v>
      </c>
      <c r="P15" s="95">
        <f t="shared" si="4"/>
        <v>0</v>
      </c>
      <c r="Q15" s="95">
        <f t="shared" si="4"/>
        <v>0</v>
      </c>
      <c r="R15" s="95">
        <f t="shared" si="4"/>
        <v>0</v>
      </c>
      <c r="S15" s="95">
        <f t="shared" si="4"/>
        <v>0</v>
      </c>
      <c r="T15" s="95">
        <f t="shared" si="4"/>
        <v>0</v>
      </c>
      <c r="U15" s="94">
        <f t="shared" si="4"/>
        <v>0</v>
      </c>
      <c r="V15" s="95">
        <f t="shared" si="4"/>
        <v>0</v>
      </c>
      <c r="W15" s="95">
        <f t="shared" si="4"/>
        <v>0</v>
      </c>
      <c r="X15" s="95">
        <f t="shared" si="4"/>
        <v>0</v>
      </c>
      <c r="Y15" s="95">
        <f t="shared" si="4"/>
        <v>109</v>
      </c>
      <c r="Z15" s="95">
        <f t="shared" si="4"/>
        <v>109</v>
      </c>
      <c r="AA15" s="95">
        <f t="shared" si="4"/>
        <v>109</v>
      </c>
      <c r="AB15" s="95">
        <f t="shared" si="4"/>
        <v>109</v>
      </c>
      <c r="AC15" s="95">
        <f t="shared" si="4"/>
        <v>109</v>
      </c>
      <c r="AD15" s="95">
        <f t="shared" si="4"/>
        <v>109</v>
      </c>
      <c r="AE15" s="95">
        <f t="shared" si="4"/>
        <v>109</v>
      </c>
      <c r="AF15" s="95">
        <f t="shared" si="4"/>
        <v>109</v>
      </c>
      <c r="AG15" s="95">
        <f t="shared" si="4"/>
        <v>108</v>
      </c>
      <c r="AH15" s="95">
        <f t="shared" si="4"/>
        <v>108</v>
      </c>
      <c r="AI15" s="95">
        <f t="shared" si="4"/>
        <v>108</v>
      </c>
      <c r="AJ15" s="95">
        <f t="shared" si="4"/>
        <v>108</v>
      </c>
      <c r="AK15" s="95">
        <f t="shared" si="4"/>
        <v>108</v>
      </c>
      <c r="AL15" s="96">
        <f t="shared" si="4"/>
        <v>108</v>
      </c>
    </row>
    <row r="16" spans="1:46" ht="30.75" customHeight="1">
      <c r="A16" s="98"/>
      <c r="B16" s="98"/>
      <c r="C16" s="99"/>
      <c r="D16" s="100"/>
      <c r="E16" s="101"/>
      <c r="F16" s="102"/>
      <c r="G16" s="102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</row>
    <row r="17" spans="1:38" ht="51.75" customHeight="1">
      <c r="A17" s="104"/>
      <c r="B17" s="11"/>
      <c r="C17" s="11"/>
      <c r="D17" s="105"/>
      <c r="E17" s="105"/>
      <c r="F17" s="106" t="s">
        <v>35</v>
      </c>
      <c r="G17" s="107">
        <f>G15</f>
        <v>250000.00000000003</v>
      </c>
      <c r="H17" s="108" t="s">
        <v>36</v>
      </c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</row>
    <row r="18" spans="1:38" ht="51.75" customHeight="1">
      <c r="A18" s="104"/>
      <c r="B18" s="11"/>
      <c r="C18" s="11"/>
      <c r="D18" s="105"/>
      <c r="E18" s="105"/>
      <c r="F18" s="110" t="s">
        <v>37</v>
      </c>
      <c r="G18" s="111">
        <f>G17*0.03</f>
        <v>7500.0000000000009</v>
      </c>
      <c r="H18" s="108" t="s">
        <v>36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</row>
    <row r="19" spans="1:38" ht="51.75" customHeight="1">
      <c r="A19" s="104"/>
      <c r="B19" s="11"/>
      <c r="C19" s="11"/>
      <c r="D19" s="105"/>
      <c r="E19" s="105"/>
      <c r="F19" s="110" t="s">
        <v>38</v>
      </c>
      <c r="G19" s="111">
        <f>SUM(G17:G18)*0.05</f>
        <v>12875.000000000002</v>
      </c>
      <c r="H19" s="108" t="s">
        <v>36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</row>
    <row r="20" spans="1:38" ht="51.75" customHeight="1">
      <c r="A20" s="113"/>
      <c r="B20" s="11"/>
      <c r="C20" s="11"/>
      <c r="D20" s="105"/>
      <c r="E20" s="105"/>
      <c r="F20" s="110" t="s">
        <v>39</v>
      </c>
      <c r="G20" s="114">
        <f>SUM(G17:G19)</f>
        <v>270375.00000000006</v>
      </c>
      <c r="H20" s="108" t="s">
        <v>36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</row>
    <row r="21" spans="1:38" s="7" customFormat="1" ht="55.7" customHeight="1">
      <c r="A21" s="3" t="s">
        <v>40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s="7" customFormat="1" ht="55.7" customHeight="1">
      <c r="A22" s="3" t="s">
        <v>41</v>
      </c>
      <c r="B22" s="4"/>
      <c r="C22" s="4"/>
      <c r="D22" s="4"/>
      <c r="E22" s="4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s="7" customFormat="1" ht="55.7" customHeight="1">
      <c r="A23" s="3" t="s">
        <v>42</v>
      </c>
      <c r="B23" s="115"/>
      <c r="C23" s="4"/>
      <c r="D23" s="4"/>
      <c r="E23" s="4"/>
      <c r="F23" s="5"/>
      <c r="G23" s="5"/>
      <c r="H23" s="5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</row>
    <row r="24" spans="1:38" s="7" customFormat="1" ht="55.7" customHeight="1">
      <c r="A24" s="3" t="s">
        <v>43</v>
      </c>
      <c r="B24" s="117"/>
      <c r="C24" s="4"/>
      <c r="D24" s="4"/>
      <c r="E24" s="4"/>
      <c r="F24" s="5"/>
      <c r="G24" s="5"/>
      <c r="H24" s="5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</row>
    <row r="25" spans="1:38" s="7" customFormat="1" ht="30.7">
      <c r="A25" s="4"/>
      <c r="B25" s="4"/>
      <c r="C25" s="4"/>
      <c r="D25" s="4"/>
      <c r="E25" s="4"/>
      <c r="F25" s="5"/>
      <c r="G25" s="5"/>
      <c r="H25" s="5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</row>
  </sheetData>
  <mergeCells count="20">
    <mergeCell ref="Y13:AL13"/>
    <mergeCell ref="Y14:AL14"/>
    <mergeCell ref="B15:C15"/>
    <mergeCell ref="I17:AL17"/>
    <mergeCell ref="H8:H10"/>
    <mergeCell ref="B11:B12"/>
    <mergeCell ref="E11:E12"/>
    <mergeCell ref="G11:G12"/>
    <mergeCell ref="H11:H14"/>
    <mergeCell ref="B13:B14"/>
    <mergeCell ref="E13:E14"/>
    <mergeCell ref="G13:G14"/>
    <mergeCell ref="D7:G7"/>
    <mergeCell ref="A8:A10"/>
    <mergeCell ref="B8:B10"/>
    <mergeCell ref="C8:C10"/>
    <mergeCell ref="D8:D10"/>
    <mergeCell ref="E8:E10"/>
    <mergeCell ref="F8:F10"/>
    <mergeCell ref="G8:G10"/>
  </mergeCells>
  <phoneticPr fontId="4" type="noConversion"/>
  <conditionalFormatting sqref="U10:AL10">
    <cfRule type="containsText" dxfId="5" priority="1" operator="containsText" text="日">
      <formula>NOT(ISERROR(SEARCH("日",U10)))</formula>
    </cfRule>
    <cfRule type="containsText" dxfId="4" priority="2" operator="containsText" text="六">
      <formula>NOT(ISERROR(SEARCH("六",U10)))</formula>
    </cfRule>
  </conditionalFormatting>
  <printOptions horizontalCentered="1"/>
  <pageMargins left="0.31496062992125984" right="0.31496062992125984" top="0.74803149606299213" bottom="0.74803149606299213" header="0.31496062992125984" footer="0.31496062992125984"/>
  <pageSetup paperSize="9" scale="3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F916-802A-417E-A6F7-B851991D1546}">
  <sheetPr>
    <tabColor rgb="FFFF0000"/>
    <pageSetUpPr fitToPage="1"/>
  </sheetPr>
  <dimension ref="A1:AT25"/>
  <sheetViews>
    <sheetView showGridLines="0" tabSelected="1" view="pageBreakPreview" zoomScale="40" zoomScaleNormal="60" zoomScaleSheetLayoutView="40" workbookViewId="0">
      <selection activeCell="AR19" sqref="AR19"/>
    </sheetView>
  </sheetViews>
  <sheetFormatPr defaultColWidth="8.87890625" defaultRowHeight="15.7"/>
  <cols>
    <col min="1" max="1" width="43.87890625" style="118" customWidth="1"/>
    <col min="2" max="2" width="22" style="118" customWidth="1"/>
    <col min="3" max="3" width="38.64453125" style="118" customWidth="1"/>
    <col min="4" max="4" width="32.3515625" style="118" customWidth="1"/>
    <col min="5" max="5" width="31.64453125" style="118" customWidth="1"/>
    <col min="6" max="6" width="22.64453125" style="119" customWidth="1"/>
    <col min="7" max="7" width="30.64453125" style="119" customWidth="1"/>
    <col min="8" max="8" width="26.64453125" style="119" customWidth="1"/>
    <col min="9" max="24" width="12.3515625" style="120" hidden="1" customWidth="1"/>
    <col min="25" max="38" width="12.3515625" style="120" customWidth="1"/>
    <col min="39" max="236" width="8.87890625" style="104"/>
    <col min="237" max="237" width="14.3515625" style="104" customWidth="1"/>
    <col min="238" max="238" width="21.87890625" style="104" customWidth="1"/>
    <col min="239" max="239" width="16" style="104" customWidth="1"/>
    <col min="240" max="240" width="54" style="104" customWidth="1"/>
    <col min="241" max="241" width="22.1171875" style="104" customWidth="1"/>
    <col min="242" max="242" width="21.46875" style="104" customWidth="1"/>
    <col min="243" max="243" width="17.87890625" style="104" customWidth="1"/>
    <col min="244" max="244" width="17" style="104" customWidth="1"/>
    <col min="245" max="246" width="28.1171875" style="104" customWidth="1"/>
    <col min="247" max="247" width="26.46875" style="104" customWidth="1"/>
    <col min="248" max="264" width="11.64453125" style="104" customWidth="1"/>
    <col min="265" max="265" width="16.3515625" style="104" customWidth="1"/>
    <col min="266" max="266" width="13.87890625" style="104" customWidth="1"/>
    <col min="267" max="270" width="11.64453125" style="104" customWidth="1"/>
    <col min="271" max="271" width="20.1171875" style="104" customWidth="1"/>
    <col min="272" max="273" width="2.64453125" style="104" customWidth="1"/>
    <col min="274" max="492" width="8.87890625" style="104"/>
    <col min="493" max="493" width="14.3515625" style="104" customWidth="1"/>
    <col min="494" max="494" width="21.87890625" style="104" customWidth="1"/>
    <col min="495" max="495" width="16" style="104" customWidth="1"/>
    <col min="496" max="496" width="54" style="104" customWidth="1"/>
    <col min="497" max="497" width="22.1171875" style="104" customWidth="1"/>
    <col min="498" max="498" width="21.46875" style="104" customWidth="1"/>
    <col min="499" max="499" width="17.87890625" style="104" customWidth="1"/>
    <col min="500" max="500" width="17" style="104" customWidth="1"/>
    <col min="501" max="502" width="28.1171875" style="104" customWidth="1"/>
    <col min="503" max="503" width="26.46875" style="104" customWidth="1"/>
    <col min="504" max="520" width="11.64453125" style="104" customWidth="1"/>
    <col min="521" max="521" width="16.3515625" style="104" customWidth="1"/>
    <col min="522" max="522" width="13.87890625" style="104" customWidth="1"/>
    <col min="523" max="526" width="11.64453125" style="104" customWidth="1"/>
    <col min="527" max="527" width="20.1171875" style="104" customWidth="1"/>
    <col min="528" max="529" width="2.64453125" style="104" customWidth="1"/>
    <col min="530" max="748" width="8.87890625" style="104"/>
    <col min="749" max="749" width="14.3515625" style="104" customWidth="1"/>
    <col min="750" max="750" width="21.87890625" style="104" customWidth="1"/>
    <col min="751" max="751" width="16" style="104" customWidth="1"/>
    <col min="752" max="752" width="54" style="104" customWidth="1"/>
    <col min="753" max="753" width="22.1171875" style="104" customWidth="1"/>
    <col min="754" max="754" width="21.46875" style="104" customWidth="1"/>
    <col min="755" max="755" width="17.87890625" style="104" customWidth="1"/>
    <col min="756" max="756" width="17" style="104" customWidth="1"/>
    <col min="757" max="758" width="28.1171875" style="104" customWidth="1"/>
    <col min="759" max="759" width="26.46875" style="104" customWidth="1"/>
    <col min="760" max="776" width="11.64453125" style="104" customWidth="1"/>
    <col min="777" max="777" width="16.3515625" style="104" customWidth="1"/>
    <col min="778" max="778" width="13.87890625" style="104" customWidth="1"/>
    <col min="779" max="782" width="11.64453125" style="104" customWidth="1"/>
    <col min="783" max="783" width="20.1171875" style="104" customWidth="1"/>
    <col min="784" max="785" width="2.64453125" style="104" customWidth="1"/>
    <col min="786" max="1004" width="8.87890625" style="104"/>
    <col min="1005" max="1005" width="14.3515625" style="104" customWidth="1"/>
    <col min="1006" max="1006" width="21.87890625" style="104" customWidth="1"/>
    <col min="1007" max="1007" width="16" style="104" customWidth="1"/>
    <col min="1008" max="1008" width="54" style="104" customWidth="1"/>
    <col min="1009" max="1009" width="22.1171875" style="104" customWidth="1"/>
    <col min="1010" max="1010" width="21.46875" style="104" customWidth="1"/>
    <col min="1011" max="1011" width="17.87890625" style="104" customWidth="1"/>
    <col min="1012" max="1012" width="17" style="104" customWidth="1"/>
    <col min="1013" max="1014" width="28.1171875" style="104" customWidth="1"/>
    <col min="1015" max="1015" width="26.46875" style="104" customWidth="1"/>
    <col min="1016" max="1032" width="11.64453125" style="104" customWidth="1"/>
    <col min="1033" max="1033" width="16.3515625" style="104" customWidth="1"/>
    <col min="1034" max="1034" width="13.87890625" style="104" customWidth="1"/>
    <col min="1035" max="1038" width="11.64453125" style="104" customWidth="1"/>
    <col min="1039" max="1039" width="20.1171875" style="104" customWidth="1"/>
    <col min="1040" max="1041" width="2.64453125" style="104" customWidth="1"/>
    <col min="1042" max="1260" width="8.87890625" style="104"/>
    <col min="1261" max="1261" width="14.3515625" style="104" customWidth="1"/>
    <col min="1262" max="1262" width="21.87890625" style="104" customWidth="1"/>
    <col min="1263" max="1263" width="16" style="104" customWidth="1"/>
    <col min="1264" max="1264" width="54" style="104" customWidth="1"/>
    <col min="1265" max="1265" width="22.1171875" style="104" customWidth="1"/>
    <col min="1266" max="1266" width="21.46875" style="104" customWidth="1"/>
    <col min="1267" max="1267" width="17.87890625" style="104" customWidth="1"/>
    <col min="1268" max="1268" width="17" style="104" customWidth="1"/>
    <col min="1269" max="1270" width="28.1171875" style="104" customWidth="1"/>
    <col min="1271" max="1271" width="26.46875" style="104" customWidth="1"/>
    <col min="1272" max="1288" width="11.64453125" style="104" customWidth="1"/>
    <col min="1289" max="1289" width="16.3515625" style="104" customWidth="1"/>
    <col min="1290" max="1290" width="13.87890625" style="104" customWidth="1"/>
    <col min="1291" max="1294" width="11.64453125" style="104" customWidth="1"/>
    <col min="1295" max="1295" width="20.1171875" style="104" customWidth="1"/>
    <col min="1296" max="1297" width="2.64453125" style="104" customWidth="1"/>
    <col min="1298" max="1516" width="8.87890625" style="104"/>
    <col min="1517" max="1517" width="14.3515625" style="104" customWidth="1"/>
    <col min="1518" max="1518" width="21.87890625" style="104" customWidth="1"/>
    <col min="1519" max="1519" width="16" style="104" customWidth="1"/>
    <col min="1520" max="1520" width="54" style="104" customWidth="1"/>
    <col min="1521" max="1521" width="22.1171875" style="104" customWidth="1"/>
    <col min="1522" max="1522" width="21.46875" style="104" customWidth="1"/>
    <col min="1523" max="1523" width="17.87890625" style="104" customWidth="1"/>
    <col min="1524" max="1524" width="17" style="104" customWidth="1"/>
    <col min="1525" max="1526" width="28.1171875" style="104" customWidth="1"/>
    <col min="1527" max="1527" width="26.46875" style="104" customWidth="1"/>
    <col min="1528" max="1544" width="11.64453125" style="104" customWidth="1"/>
    <col min="1545" max="1545" width="16.3515625" style="104" customWidth="1"/>
    <col min="1546" max="1546" width="13.87890625" style="104" customWidth="1"/>
    <col min="1547" max="1550" width="11.64453125" style="104" customWidth="1"/>
    <col min="1551" max="1551" width="20.1171875" style="104" customWidth="1"/>
    <col min="1552" max="1553" width="2.64453125" style="104" customWidth="1"/>
    <col min="1554" max="1772" width="8.87890625" style="104"/>
    <col min="1773" max="1773" width="14.3515625" style="104" customWidth="1"/>
    <col min="1774" max="1774" width="21.87890625" style="104" customWidth="1"/>
    <col min="1775" max="1775" width="16" style="104" customWidth="1"/>
    <col min="1776" max="1776" width="54" style="104" customWidth="1"/>
    <col min="1777" max="1777" width="22.1171875" style="104" customWidth="1"/>
    <col min="1778" max="1778" width="21.46875" style="104" customWidth="1"/>
    <col min="1779" max="1779" width="17.87890625" style="104" customWidth="1"/>
    <col min="1780" max="1780" width="17" style="104" customWidth="1"/>
    <col min="1781" max="1782" width="28.1171875" style="104" customWidth="1"/>
    <col min="1783" max="1783" width="26.46875" style="104" customWidth="1"/>
    <col min="1784" max="1800" width="11.64453125" style="104" customWidth="1"/>
    <col min="1801" max="1801" width="16.3515625" style="104" customWidth="1"/>
    <col min="1802" max="1802" width="13.87890625" style="104" customWidth="1"/>
    <col min="1803" max="1806" width="11.64453125" style="104" customWidth="1"/>
    <col min="1807" max="1807" width="20.1171875" style="104" customWidth="1"/>
    <col min="1808" max="1809" width="2.64453125" style="104" customWidth="1"/>
    <col min="1810" max="2028" width="8.87890625" style="104"/>
    <col min="2029" max="2029" width="14.3515625" style="104" customWidth="1"/>
    <col min="2030" max="2030" width="21.87890625" style="104" customWidth="1"/>
    <col min="2031" max="2031" width="16" style="104" customWidth="1"/>
    <col min="2032" max="2032" width="54" style="104" customWidth="1"/>
    <col min="2033" max="2033" width="22.1171875" style="104" customWidth="1"/>
    <col min="2034" max="2034" width="21.46875" style="104" customWidth="1"/>
    <col min="2035" max="2035" width="17.87890625" style="104" customWidth="1"/>
    <col min="2036" max="2036" width="17" style="104" customWidth="1"/>
    <col min="2037" max="2038" width="28.1171875" style="104" customWidth="1"/>
    <col min="2039" max="2039" width="26.46875" style="104" customWidth="1"/>
    <col min="2040" max="2056" width="11.64453125" style="104" customWidth="1"/>
    <col min="2057" max="2057" width="16.3515625" style="104" customWidth="1"/>
    <col min="2058" max="2058" width="13.87890625" style="104" customWidth="1"/>
    <col min="2059" max="2062" width="11.64453125" style="104" customWidth="1"/>
    <col min="2063" max="2063" width="20.1171875" style="104" customWidth="1"/>
    <col min="2064" max="2065" width="2.64453125" style="104" customWidth="1"/>
    <col min="2066" max="2284" width="8.87890625" style="104"/>
    <col min="2285" max="2285" width="14.3515625" style="104" customWidth="1"/>
    <col min="2286" max="2286" width="21.87890625" style="104" customWidth="1"/>
    <col min="2287" max="2287" width="16" style="104" customWidth="1"/>
    <col min="2288" max="2288" width="54" style="104" customWidth="1"/>
    <col min="2289" max="2289" width="22.1171875" style="104" customWidth="1"/>
    <col min="2290" max="2290" width="21.46875" style="104" customWidth="1"/>
    <col min="2291" max="2291" width="17.87890625" style="104" customWidth="1"/>
    <col min="2292" max="2292" width="17" style="104" customWidth="1"/>
    <col min="2293" max="2294" width="28.1171875" style="104" customWidth="1"/>
    <col min="2295" max="2295" width="26.46875" style="104" customWidth="1"/>
    <col min="2296" max="2312" width="11.64453125" style="104" customWidth="1"/>
    <col min="2313" max="2313" width="16.3515625" style="104" customWidth="1"/>
    <col min="2314" max="2314" width="13.87890625" style="104" customWidth="1"/>
    <col min="2315" max="2318" width="11.64453125" style="104" customWidth="1"/>
    <col min="2319" max="2319" width="20.1171875" style="104" customWidth="1"/>
    <col min="2320" max="2321" width="2.64453125" style="104" customWidth="1"/>
    <col min="2322" max="2540" width="8.87890625" style="104"/>
    <col min="2541" max="2541" width="14.3515625" style="104" customWidth="1"/>
    <col min="2542" max="2542" width="21.87890625" style="104" customWidth="1"/>
    <col min="2543" max="2543" width="16" style="104" customWidth="1"/>
    <col min="2544" max="2544" width="54" style="104" customWidth="1"/>
    <col min="2545" max="2545" width="22.1171875" style="104" customWidth="1"/>
    <col min="2546" max="2546" width="21.46875" style="104" customWidth="1"/>
    <col min="2547" max="2547" width="17.87890625" style="104" customWidth="1"/>
    <col min="2548" max="2548" width="17" style="104" customWidth="1"/>
    <col min="2549" max="2550" width="28.1171875" style="104" customWidth="1"/>
    <col min="2551" max="2551" width="26.46875" style="104" customWidth="1"/>
    <col min="2552" max="2568" width="11.64453125" style="104" customWidth="1"/>
    <col min="2569" max="2569" width="16.3515625" style="104" customWidth="1"/>
    <col min="2570" max="2570" width="13.87890625" style="104" customWidth="1"/>
    <col min="2571" max="2574" width="11.64453125" style="104" customWidth="1"/>
    <col min="2575" max="2575" width="20.1171875" style="104" customWidth="1"/>
    <col min="2576" max="2577" width="2.64453125" style="104" customWidth="1"/>
    <col min="2578" max="2796" width="8.87890625" style="104"/>
    <col min="2797" max="2797" width="14.3515625" style="104" customWidth="1"/>
    <col min="2798" max="2798" width="21.87890625" style="104" customWidth="1"/>
    <col min="2799" max="2799" width="16" style="104" customWidth="1"/>
    <col min="2800" max="2800" width="54" style="104" customWidth="1"/>
    <col min="2801" max="2801" width="22.1171875" style="104" customWidth="1"/>
    <col min="2802" max="2802" width="21.46875" style="104" customWidth="1"/>
    <col min="2803" max="2803" width="17.87890625" style="104" customWidth="1"/>
    <col min="2804" max="2804" width="17" style="104" customWidth="1"/>
    <col min="2805" max="2806" width="28.1171875" style="104" customWidth="1"/>
    <col min="2807" max="2807" width="26.46875" style="104" customWidth="1"/>
    <col min="2808" max="2824" width="11.64453125" style="104" customWidth="1"/>
    <col min="2825" max="2825" width="16.3515625" style="104" customWidth="1"/>
    <col min="2826" max="2826" width="13.87890625" style="104" customWidth="1"/>
    <col min="2827" max="2830" width="11.64453125" style="104" customWidth="1"/>
    <col min="2831" max="2831" width="20.1171875" style="104" customWidth="1"/>
    <col min="2832" max="2833" width="2.64453125" style="104" customWidth="1"/>
    <col min="2834" max="3052" width="8.87890625" style="104"/>
    <col min="3053" max="3053" width="14.3515625" style="104" customWidth="1"/>
    <col min="3054" max="3054" width="21.87890625" style="104" customWidth="1"/>
    <col min="3055" max="3055" width="16" style="104" customWidth="1"/>
    <col min="3056" max="3056" width="54" style="104" customWidth="1"/>
    <col min="3057" max="3057" width="22.1171875" style="104" customWidth="1"/>
    <col min="3058" max="3058" width="21.46875" style="104" customWidth="1"/>
    <col min="3059" max="3059" width="17.87890625" style="104" customWidth="1"/>
    <col min="3060" max="3060" width="17" style="104" customWidth="1"/>
    <col min="3061" max="3062" width="28.1171875" style="104" customWidth="1"/>
    <col min="3063" max="3063" width="26.46875" style="104" customWidth="1"/>
    <col min="3064" max="3080" width="11.64453125" style="104" customWidth="1"/>
    <col min="3081" max="3081" width="16.3515625" style="104" customWidth="1"/>
    <col min="3082" max="3082" width="13.87890625" style="104" customWidth="1"/>
    <col min="3083" max="3086" width="11.64453125" style="104" customWidth="1"/>
    <col min="3087" max="3087" width="20.1171875" style="104" customWidth="1"/>
    <col min="3088" max="3089" width="2.64453125" style="104" customWidth="1"/>
    <col min="3090" max="3308" width="8.87890625" style="104"/>
    <col min="3309" max="3309" width="14.3515625" style="104" customWidth="1"/>
    <col min="3310" max="3310" width="21.87890625" style="104" customWidth="1"/>
    <col min="3311" max="3311" width="16" style="104" customWidth="1"/>
    <col min="3312" max="3312" width="54" style="104" customWidth="1"/>
    <col min="3313" max="3313" width="22.1171875" style="104" customWidth="1"/>
    <col min="3314" max="3314" width="21.46875" style="104" customWidth="1"/>
    <col min="3315" max="3315" width="17.87890625" style="104" customWidth="1"/>
    <col min="3316" max="3316" width="17" style="104" customWidth="1"/>
    <col min="3317" max="3318" width="28.1171875" style="104" customWidth="1"/>
    <col min="3319" max="3319" width="26.46875" style="104" customWidth="1"/>
    <col min="3320" max="3336" width="11.64453125" style="104" customWidth="1"/>
    <col min="3337" max="3337" width="16.3515625" style="104" customWidth="1"/>
    <col min="3338" max="3338" width="13.87890625" style="104" customWidth="1"/>
    <col min="3339" max="3342" width="11.64453125" style="104" customWidth="1"/>
    <col min="3343" max="3343" width="20.1171875" style="104" customWidth="1"/>
    <col min="3344" max="3345" width="2.64453125" style="104" customWidth="1"/>
    <col min="3346" max="3564" width="8.87890625" style="104"/>
    <col min="3565" max="3565" width="14.3515625" style="104" customWidth="1"/>
    <col min="3566" max="3566" width="21.87890625" style="104" customWidth="1"/>
    <col min="3567" max="3567" width="16" style="104" customWidth="1"/>
    <col min="3568" max="3568" width="54" style="104" customWidth="1"/>
    <col min="3569" max="3569" width="22.1171875" style="104" customWidth="1"/>
    <col min="3570" max="3570" width="21.46875" style="104" customWidth="1"/>
    <col min="3571" max="3571" width="17.87890625" style="104" customWidth="1"/>
    <col min="3572" max="3572" width="17" style="104" customWidth="1"/>
    <col min="3573" max="3574" width="28.1171875" style="104" customWidth="1"/>
    <col min="3575" max="3575" width="26.46875" style="104" customWidth="1"/>
    <col min="3576" max="3592" width="11.64453125" style="104" customWidth="1"/>
    <col min="3593" max="3593" width="16.3515625" style="104" customWidth="1"/>
    <col min="3594" max="3594" width="13.87890625" style="104" customWidth="1"/>
    <col min="3595" max="3598" width="11.64453125" style="104" customWidth="1"/>
    <col min="3599" max="3599" width="20.1171875" style="104" customWidth="1"/>
    <col min="3600" max="3601" width="2.64453125" style="104" customWidth="1"/>
    <col min="3602" max="3820" width="8.87890625" style="104"/>
    <col min="3821" max="3821" width="14.3515625" style="104" customWidth="1"/>
    <col min="3822" max="3822" width="21.87890625" style="104" customWidth="1"/>
    <col min="3823" max="3823" width="16" style="104" customWidth="1"/>
    <col min="3824" max="3824" width="54" style="104" customWidth="1"/>
    <col min="3825" max="3825" width="22.1171875" style="104" customWidth="1"/>
    <col min="3826" max="3826" width="21.46875" style="104" customWidth="1"/>
    <col min="3827" max="3827" width="17.87890625" style="104" customWidth="1"/>
    <col min="3828" max="3828" width="17" style="104" customWidth="1"/>
    <col min="3829" max="3830" width="28.1171875" style="104" customWidth="1"/>
    <col min="3831" max="3831" width="26.46875" style="104" customWidth="1"/>
    <col min="3832" max="3848" width="11.64453125" style="104" customWidth="1"/>
    <col min="3849" max="3849" width="16.3515625" style="104" customWidth="1"/>
    <col min="3850" max="3850" width="13.87890625" style="104" customWidth="1"/>
    <col min="3851" max="3854" width="11.64453125" style="104" customWidth="1"/>
    <col min="3855" max="3855" width="20.1171875" style="104" customWidth="1"/>
    <col min="3856" max="3857" width="2.64453125" style="104" customWidth="1"/>
    <col min="3858" max="4076" width="8.87890625" style="104"/>
    <col min="4077" max="4077" width="14.3515625" style="104" customWidth="1"/>
    <col min="4078" max="4078" width="21.87890625" style="104" customWidth="1"/>
    <col min="4079" max="4079" width="16" style="104" customWidth="1"/>
    <col min="4080" max="4080" width="54" style="104" customWidth="1"/>
    <col min="4081" max="4081" width="22.1171875" style="104" customWidth="1"/>
    <col min="4082" max="4082" width="21.46875" style="104" customWidth="1"/>
    <col min="4083" max="4083" width="17.87890625" style="104" customWidth="1"/>
    <col min="4084" max="4084" width="17" style="104" customWidth="1"/>
    <col min="4085" max="4086" width="28.1171875" style="104" customWidth="1"/>
    <col min="4087" max="4087" width="26.46875" style="104" customWidth="1"/>
    <col min="4088" max="4104" width="11.64453125" style="104" customWidth="1"/>
    <col min="4105" max="4105" width="16.3515625" style="104" customWidth="1"/>
    <col min="4106" max="4106" width="13.87890625" style="104" customWidth="1"/>
    <col min="4107" max="4110" width="11.64453125" style="104" customWidth="1"/>
    <col min="4111" max="4111" width="20.1171875" style="104" customWidth="1"/>
    <col min="4112" max="4113" width="2.64453125" style="104" customWidth="1"/>
    <col min="4114" max="4332" width="8.87890625" style="104"/>
    <col min="4333" max="4333" width="14.3515625" style="104" customWidth="1"/>
    <col min="4334" max="4334" width="21.87890625" style="104" customWidth="1"/>
    <col min="4335" max="4335" width="16" style="104" customWidth="1"/>
    <col min="4336" max="4336" width="54" style="104" customWidth="1"/>
    <col min="4337" max="4337" width="22.1171875" style="104" customWidth="1"/>
    <col min="4338" max="4338" width="21.46875" style="104" customWidth="1"/>
    <col min="4339" max="4339" width="17.87890625" style="104" customWidth="1"/>
    <col min="4340" max="4340" width="17" style="104" customWidth="1"/>
    <col min="4341" max="4342" width="28.1171875" style="104" customWidth="1"/>
    <col min="4343" max="4343" width="26.46875" style="104" customWidth="1"/>
    <col min="4344" max="4360" width="11.64453125" style="104" customWidth="1"/>
    <col min="4361" max="4361" width="16.3515625" style="104" customWidth="1"/>
    <col min="4362" max="4362" width="13.87890625" style="104" customWidth="1"/>
    <col min="4363" max="4366" width="11.64453125" style="104" customWidth="1"/>
    <col min="4367" max="4367" width="20.1171875" style="104" customWidth="1"/>
    <col min="4368" max="4369" width="2.64453125" style="104" customWidth="1"/>
    <col min="4370" max="4588" width="8.87890625" style="104"/>
    <col min="4589" max="4589" width="14.3515625" style="104" customWidth="1"/>
    <col min="4590" max="4590" width="21.87890625" style="104" customWidth="1"/>
    <col min="4591" max="4591" width="16" style="104" customWidth="1"/>
    <col min="4592" max="4592" width="54" style="104" customWidth="1"/>
    <col min="4593" max="4593" width="22.1171875" style="104" customWidth="1"/>
    <col min="4594" max="4594" width="21.46875" style="104" customWidth="1"/>
    <col min="4595" max="4595" width="17.87890625" style="104" customWidth="1"/>
    <col min="4596" max="4596" width="17" style="104" customWidth="1"/>
    <col min="4597" max="4598" width="28.1171875" style="104" customWidth="1"/>
    <col min="4599" max="4599" width="26.46875" style="104" customWidth="1"/>
    <col min="4600" max="4616" width="11.64453125" style="104" customWidth="1"/>
    <col min="4617" max="4617" width="16.3515625" style="104" customWidth="1"/>
    <col min="4618" max="4618" width="13.87890625" style="104" customWidth="1"/>
    <col min="4619" max="4622" width="11.64453125" style="104" customWidth="1"/>
    <col min="4623" max="4623" width="20.1171875" style="104" customWidth="1"/>
    <col min="4624" max="4625" width="2.64453125" style="104" customWidth="1"/>
    <col min="4626" max="4844" width="8.87890625" style="104"/>
    <col min="4845" max="4845" width="14.3515625" style="104" customWidth="1"/>
    <col min="4846" max="4846" width="21.87890625" style="104" customWidth="1"/>
    <col min="4847" max="4847" width="16" style="104" customWidth="1"/>
    <col min="4848" max="4848" width="54" style="104" customWidth="1"/>
    <col min="4849" max="4849" width="22.1171875" style="104" customWidth="1"/>
    <col min="4850" max="4850" width="21.46875" style="104" customWidth="1"/>
    <col min="4851" max="4851" width="17.87890625" style="104" customWidth="1"/>
    <col min="4852" max="4852" width="17" style="104" customWidth="1"/>
    <col min="4853" max="4854" width="28.1171875" style="104" customWidth="1"/>
    <col min="4855" max="4855" width="26.46875" style="104" customWidth="1"/>
    <col min="4856" max="4872" width="11.64453125" style="104" customWidth="1"/>
    <col min="4873" max="4873" width="16.3515625" style="104" customWidth="1"/>
    <col min="4874" max="4874" width="13.87890625" style="104" customWidth="1"/>
    <col min="4875" max="4878" width="11.64453125" style="104" customWidth="1"/>
    <col min="4879" max="4879" width="20.1171875" style="104" customWidth="1"/>
    <col min="4880" max="4881" width="2.64453125" style="104" customWidth="1"/>
    <col min="4882" max="5100" width="8.87890625" style="104"/>
    <col min="5101" max="5101" width="14.3515625" style="104" customWidth="1"/>
    <col min="5102" max="5102" width="21.87890625" style="104" customWidth="1"/>
    <col min="5103" max="5103" width="16" style="104" customWidth="1"/>
    <col min="5104" max="5104" width="54" style="104" customWidth="1"/>
    <col min="5105" max="5105" width="22.1171875" style="104" customWidth="1"/>
    <col min="5106" max="5106" width="21.46875" style="104" customWidth="1"/>
    <col min="5107" max="5107" width="17.87890625" style="104" customWidth="1"/>
    <col min="5108" max="5108" width="17" style="104" customWidth="1"/>
    <col min="5109" max="5110" width="28.1171875" style="104" customWidth="1"/>
    <col min="5111" max="5111" width="26.46875" style="104" customWidth="1"/>
    <col min="5112" max="5128" width="11.64453125" style="104" customWidth="1"/>
    <col min="5129" max="5129" width="16.3515625" style="104" customWidth="1"/>
    <col min="5130" max="5130" width="13.87890625" style="104" customWidth="1"/>
    <col min="5131" max="5134" width="11.64453125" style="104" customWidth="1"/>
    <col min="5135" max="5135" width="20.1171875" style="104" customWidth="1"/>
    <col min="5136" max="5137" width="2.64453125" style="104" customWidth="1"/>
    <col min="5138" max="5356" width="8.87890625" style="104"/>
    <col min="5357" max="5357" width="14.3515625" style="104" customWidth="1"/>
    <col min="5358" max="5358" width="21.87890625" style="104" customWidth="1"/>
    <col min="5359" max="5359" width="16" style="104" customWidth="1"/>
    <col min="5360" max="5360" width="54" style="104" customWidth="1"/>
    <col min="5361" max="5361" width="22.1171875" style="104" customWidth="1"/>
    <col min="5362" max="5362" width="21.46875" style="104" customWidth="1"/>
    <col min="5363" max="5363" width="17.87890625" style="104" customWidth="1"/>
    <col min="5364" max="5364" width="17" style="104" customWidth="1"/>
    <col min="5365" max="5366" width="28.1171875" style="104" customWidth="1"/>
    <col min="5367" max="5367" width="26.46875" style="104" customWidth="1"/>
    <col min="5368" max="5384" width="11.64453125" style="104" customWidth="1"/>
    <col min="5385" max="5385" width="16.3515625" style="104" customWidth="1"/>
    <col min="5386" max="5386" width="13.87890625" style="104" customWidth="1"/>
    <col min="5387" max="5390" width="11.64453125" style="104" customWidth="1"/>
    <col min="5391" max="5391" width="20.1171875" style="104" customWidth="1"/>
    <col min="5392" max="5393" width="2.64453125" style="104" customWidth="1"/>
    <col min="5394" max="5612" width="8.87890625" style="104"/>
    <col min="5613" max="5613" width="14.3515625" style="104" customWidth="1"/>
    <col min="5614" max="5614" width="21.87890625" style="104" customWidth="1"/>
    <col min="5615" max="5615" width="16" style="104" customWidth="1"/>
    <col min="5616" max="5616" width="54" style="104" customWidth="1"/>
    <col min="5617" max="5617" width="22.1171875" style="104" customWidth="1"/>
    <col min="5618" max="5618" width="21.46875" style="104" customWidth="1"/>
    <col min="5619" max="5619" width="17.87890625" style="104" customWidth="1"/>
    <col min="5620" max="5620" width="17" style="104" customWidth="1"/>
    <col min="5621" max="5622" width="28.1171875" style="104" customWidth="1"/>
    <col min="5623" max="5623" width="26.46875" style="104" customWidth="1"/>
    <col min="5624" max="5640" width="11.64453125" style="104" customWidth="1"/>
    <col min="5641" max="5641" width="16.3515625" style="104" customWidth="1"/>
    <col min="5642" max="5642" width="13.87890625" style="104" customWidth="1"/>
    <col min="5643" max="5646" width="11.64453125" style="104" customWidth="1"/>
    <col min="5647" max="5647" width="20.1171875" style="104" customWidth="1"/>
    <col min="5648" max="5649" width="2.64453125" style="104" customWidth="1"/>
    <col min="5650" max="5868" width="8.87890625" style="104"/>
    <col min="5869" max="5869" width="14.3515625" style="104" customWidth="1"/>
    <col min="5870" max="5870" width="21.87890625" style="104" customWidth="1"/>
    <col min="5871" max="5871" width="16" style="104" customWidth="1"/>
    <col min="5872" max="5872" width="54" style="104" customWidth="1"/>
    <col min="5873" max="5873" width="22.1171875" style="104" customWidth="1"/>
    <col min="5874" max="5874" width="21.46875" style="104" customWidth="1"/>
    <col min="5875" max="5875" width="17.87890625" style="104" customWidth="1"/>
    <col min="5876" max="5876" width="17" style="104" customWidth="1"/>
    <col min="5877" max="5878" width="28.1171875" style="104" customWidth="1"/>
    <col min="5879" max="5879" width="26.46875" style="104" customWidth="1"/>
    <col min="5880" max="5896" width="11.64453125" style="104" customWidth="1"/>
    <col min="5897" max="5897" width="16.3515625" style="104" customWidth="1"/>
    <col min="5898" max="5898" width="13.87890625" style="104" customWidth="1"/>
    <col min="5899" max="5902" width="11.64453125" style="104" customWidth="1"/>
    <col min="5903" max="5903" width="20.1171875" style="104" customWidth="1"/>
    <col min="5904" max="5905" width="2.64453125" style="104" customWidth="1"/>
    <col min="5906" max="6124" width="8.87890625" style="104"/>
    <col min="6125" max="6125" width="14.3515625" style="104" customWidth="1"/>
    <col min="6126" max="6126" width="21.87890625" style="104" customWidth="1"/>
    <col min="6127" max="6127" width="16" style="104" customWidth="1"/>
    <col min="6128" max="6128" width="54" style="104" customWidth="1"/>
    <col min="6129" max="6129" width="22.1171875" style="104" customWidth="1"/>
    <col min="6130" max="6130" width="21.46875" style="104" customWidth="1"/>
    <col min="6131" max="6131" width="17.87890625" style="104" customWidth="1"/>
    <col min="6132" max="6132" width="17" style="104" customWidth="1"/>
    <col min="6133" max="6134" width="28.1171875" style="104" customWidth="1"/>
    <col min="6135" max="6135" width="26.46875" style="104" customWidth="1"/>
    <col min="6136" max="6152" width="11.64453125" style="104" customWidth="1"/>
    <col min="6153" max="6153" width="16.3515625" style="104" customWidth="1"/>
    <col min="6154" max="6154" width="13.87890625" style="104" customWidth="1"/>
    <col min="6155" max="6158" width="11.64453125" style="104" customWidth="1"/>
    <col min="6159" max="6159" width="20.1171875" style="104" customWidth="1"/>
    <col min="6160" max="6161" width="2.64453125" style="104" customWidth="1"/>
    <col min="6162" max="6380" width="8.87890625" style="104"/>
    <col min="6381" max="6381" width="14.3515625" style="104" customWidth="1"/>
    <col min="6382" max="6382" width="21.87890625" style="104" customWidth="1"/>
    <col min="6383" max="6383" width="16" style="104" customWidth="1"/>
    <col min="6384" max="6384" width="54" style="104" customWidth="1"/>
    <col min="6385" max="6385" width="22.1171875" style="104" customWidth="1"/>
    <col min="6386" max="6386" width="21.46875" style="104" customWidth="1"/>
    <col min="6387" max="6387" width="17.87890625" style="104" customWidth="1"/>
    <col min="6388" max="6388" width="17" style="104" customWidth="1"/>
    <col min="6389" max="6390" width="28.1171875" style="104" customWidth="1"/>
    <col min="6391" max="6391" width="26.46875" style="104" customWidth="1"/>
    <col min="6392" max="6408" width="11.64453125" style="104" customWidth="1"/>
    <col min="6409" max="6409" width="16.3515625" style="104" customWidth="1"/>
    <col min="6410" max="6410" width="13.87890625" style="104" customWidth="1"/>
    <col min="6411" max="6414" width="11.64453125" style="104" customWidth="1"/>
    <col min="6415" max="6415" width="20.1171875" style="104" customWidth="1"/>
    <col min="6416" max="6417" width="2.64453125" style="104" customWidth="1"/>
    <col min="6418" max="6636" width="8.87890625" style="104"/>
    <col min="6637" max="6637" width="14.3515625" style="104" customWidth="1"/>
    <col min="6638" max="6638" width="21.87890625" style="104" customWidth="1"/>
    <col min="6639" max="6639" width="16" style="104" customWidth="1"/>
    <col min="6640" max="6640" width="54" style="104" customWidth="1"/>
    <col min="6641" max="6641" width="22.1171875" style="104" customWidth="1"/>
    <col min="6642" max="6642" width="21.46875" style="104" customWidth="1"/>
    <col min="6643" max="6643" width="17.87890625" style="104" customWidth="1"/>
    <col min="6644" max="6644" width="17" style="104" customWidth="1"/>
    <col min="6645" max="6646" width="28.1171875" style="104" customWidth="1"/>
    <col min="6647" max="6647" width="26.46875" style="104" customWidth="1"/>
    <col min="6648" max="6664" width="11.64453125" style="104" customWidth="1"/>
    <col min="6665" max="6665" width="16.3515625" style="104" customWidth="1"/>
    <col min="6666" max="6666" width="13.87890625" style="104" customWidth="1"/>
    <col min="6667" max="6670" width="11.64453125" style="104" customWidth="1"/>
    <col min="6671" max="6671" width="20.1171875" style="104" customWidth="1"/>
    <col min="6672" max="6673" width="2.64453125" style="104" customWidth="1"/>
    <col min="6674" max="6892" width="8.87890625" style="104"/>
    <col min="6893" max="6893" width="14.3515625" style="104" customWidth="1"/>
    <col min="6894" max="6894" width="21.87890625" style="104" customWidth="1"/>
    <col min="6895" max="6895" width="16" style="104" customWidth="1"/>
    <col min="6896" max="6896" width="54" style="104" customWidth="1"/>
    <col min="6897" max="6897" width="22.1171875" style="104" customWidth="1"/>
    <col min="6898" max="6898" width="21.46875" style="104" customWidth="1"/>
    <col min="6899" max="6899" width="17.87890625" style="104" customWidth="1"/>
    <col min="6900" max="6900" width="17" style="104" customWidth="1"/>
    <col min="6901" max="6902" width="28.1171875" style="104" customWidth="1"/>
    <col min="6903" max="6903" width="26.46875" style="104" customWidth="1"/>
    <col min="6904" max="6920" width="11.64453125" style="104" customWidth="1"/>
    <col min="6921" max="6921" width="16.3515625" style="104" customWidth="1"/>
    <col min="6922" max="6922" width="13.87890625" style="104" customWidth="1"/>
    <col min="6923" max="6926" width="11.64453125" style="104" customWidth="1"/>
    <col min="6927" max="6927" width="20.1171875" style="104" customWidth="1"/>
    <col min="6928" max="6929" width="2.64453125" style="104" customWidth="1"/>
    <col min="6930" max="7148" width="8.87890625" style="104"/>
    <col min="7149" max="7149" width="14.3515625" style="104" customWidth="1"/>
    <col min="7150" max="7150" width="21.87890625" style="104" customWidth="1"/>
    <col min="7151" max="7151" width="16" style="104" customWidth="1"/>
    <col min="7152" max="7152" width="54" style="104" customWidth="1"/>
    <col min="7153" max="7153" width="22.1171875" style="104" customWidth="1"/>
    <col min="7154" max="7154" width="21.46875" style="104" customWidth="1"/>
    <col min="7155" max="7155" width="17.87890625" style="104" customWidth="1"/>
    <col min="7156" max="7156" width="17" style="104" customWidth="1"/>
    <col min="7157" max="7158" width="28.1171875" style="104" customWidth="1"/>
    <col min="7159" max="7159" width="26.46875" style="104" customWidth="1"/>
    <col min="7160" max="7176" width="11.64453125" style="104" customWidth="1"/>
    <col min="7177" max="7177" width="16.3515625" style="104" customWidth="1"/>
    <col min="7178" max="7178" width="13.87890625" style="104" customWidth="1"/>
    <col min="7179" max="7182" width="11.64453125" style="104" customWidth="1"/>
    <col min="7183" max="7183" width="20.1171875" style="104" customWidth="1"/>
    <col min="7184" max="7185" width="2.64453125" style="104" customWidth="1"/>
    <col min="7186" max="7404" width="8.87890625" style="104"/>
    <col min="7405" max="7405" width="14.3515625" style="104" customWidth="1"/>
    <col min="7406" max="7406" width="21.87890625" style="104" customWidth="1"/>
    <col min="7407" max="7407" width="16" style="104" customWidth="1"/>
    <col min="7408" max="7408" width="54" style="104" customWidth="1"/>
    <col min="7409" max="7409" width="22.1171875" style="104" customWidth="1"/>
    <col min="7410" max="7410" width="21.46875" style="104" customWidth="1"/>
    <col min="7411" max="7411" width="17.87890625" style="104" customWidth="1"/>
    <col min="7412" max="7412" width="17" style="104" customWidth="1"/>
    <col min="7413" max="7414" width="28.1171875" style="104" customWidth="1"/>
    <col min="7415" max="7415" width="26.46875" style="104" customWidth="1"/>
    <col min="7416" max="7432" width="11.64453125" style="104" customWidth="1"/>
    <col min="7433" max="7433" width="16.3515625" style="104" customWidth="1"/>
    <col min="7434" max="7434" width="13.87890625" style="104" customWidth="1"/>
    <col min="7435" max="7438" width="11.64453125" style="104" customWidth="1"/>
    <col min="7439" max="7439" width="20.1171875" style="104" customWidth="1"/>
    <col min="7440" max="7441" width="2.64453125" style="104" customWidth="1"/>
    <col min="7442" max="7660" width="8.87890625" style="104"/>
    <col min="7661" max="7661" width="14.3515625" style="104" customWidth="1"/>
    <col min="7662" max="7662" width="21.87890625" style="104" customWidth="1"/>
    <col min="7663" max="7663" width="16" style="104" customWidth="1"/>
    <col min="7664" max="7664" width="54" style="104" customWidth="1"/>
    <col min="7665" max="7665" width="22.1171875" style="104" customWidth="1"/>
    <col min="7666" max="7666" width="21.46875" style="104" customWidth="1"/>
    <col min="7667" max="7667" width="17.87890625" style="104" customWidth="1"/>
    <col min="7668" max="7668" width="17" style="104" customWidth="1"/>
    <col min="7669" max="7670" width="28.1171875" style="104" customWidth="1"/>
    <col min="7671" max="7671" width="26.46875" style="104" customWidth="1"/>
    <col min="7672" max="7688" width="11.64453125" style="104" customWidth="1"/>
    <col min="7689" max="7689" width="16.3515625" style="104" customWidth="1"/>
    <col min="7690" max="7690" width="13.87890625" style="104" customWidth="1"/>
    <col min="7691" max="7694" width="11.64453125" style="104" customWidth="1"/>
    <col min="7695" max="7695" width="20.1171875" style="104" customWidth="1"/>
    <col min="7696" max="7697" width="2.64453125" style="104" customWidth="1"/>
    <col min="7698" max="7916" width="8.87890625" style="104"/>
    <col min="7917" max="7917" width="14.3515625" style="104" customWidth="1"/>
    <col min="7918" max="7918" width="21.87890625" style="104" customWidth="1"/>
    <col min="7919" max="7919" width="16" style="104" customWidth="1"/>
    <col min="7920" max="7920" width="54" style="104" customWidth="1"/>
    <col min="7921" max="7921" width="22.1171875" style="104" customWidth="1"/>
    <col min="7922" max="7922" width="21.46875" style="104" customWidth="1"/>
    <col min="7923" max="7923" width="17.87890625" style="104" customWidth="1"/>
    <col min="7924" max="7924" width="17" style="104" customWidth="1"/>
    <col min="7925" max="7926" width="28.1171875" style="104" customWidth="1"/>
    <col min="7927" max="7927" width="26.46875" style="104" customWidth="1"/>
    <col min="7928" max="7944" width="11.64453125" style="104" customWidth="1"/>
    <col min="7945" max="7945" width="16.3515625" style="104" customWidth="1"/>
    <col min="7946" max="7946" width="13.87890625" style="104" customWidth="1"/>
    <col min="7947" max="7950" width="11.64453125" style="104" customWidth="1"/>
    <col min="7951" max="7951" width="20.1171875" style="104" customWidth="1"/>
    <col min="7952" max="7953" width="2.64453125" style="104" customWidth="1"/>
    <col min="7954" max="8172" width="8.87890625" style="104"/>
    <col min="8173" max="8173" width="14.3515625" style="104" customWidth="1"/>
    <col min="8174" max="8174" width="21.87890625" style="104" customWidth="1"/>
    <col min="8175" max="8175" width="16" style="104" customWidth="1"/>
    <col min="8176" max="8176" width="54" style="104" customWidth="1"/>
    <col min="8177" max="8177" width="22.1171875" style="104" customWidth="1"/>
    <col min="8178" max="8178" width="21.46875" style="104" customWidth="1"/>
    <col min="8179" max="8179" width="17.87890625" style="104" customWidth="1"/>
    <col min="8180" max="8180" width="17" style="104" customWidth="1"/>
    <col min="8181" max="8182" width="28.1171875" style="104" customWidth="1"/>
    <col min="8183" max="8183" width="26.46875" style="104" customWidth="1"/>
    <col min="8184" max="8200" width="11.64453125" style="104" customWidth="1"/>
    <col min="8201" max="8201" width="16.3515625" style="104" customWidth="1"/>
    <col min="8202" max="8202" width="13.87890625" style="104" customWidth="1"/>
    <col min="8203" max="8206" width="11.64453125" style="104" customWidth="1"/>
    <col min="8207" max="8207" width="20.1171875" style="104" customWidth="1"/>
    <col min="8208" max="8209" width="2.64453125" style="104" customWidth="1"/>
    <col min="8210" max="8428" width="8.87890625" style="104"/>
    <col min="8429" max="8429" width="14.3515625" style="104" customWidth="1"/>
    <col min="8430" max="8430" width="21.87890625" style="104" customWidth="1"/>
    <col min="8431" max="8431" width="16" style="104" customWidth="1"/>
    <col min="8432" max="8432" width="54" style="104" customWidth="1"/>
    <col min="8433" max="8433" width="22.1171875" style="104" customWidth="1"/>
    <col min="8434" max="8434" width="21.46875" style="104" customWidth="1"/>
    <col min="8435" max="8435" width="17.87890625" style="104" customWidth="1"/>
    <col min="8436" max="8436" width="17" style="104" customWidth="1"/>
    <col min="8437" max="8438" width="28.1171875" style="104" customWidth="1"/>
    <col min="8439" max="8439" width="26.46875" style="104" customWidth="1"/>
    <col min="8440" max="8456" width="11.64453125" style="104" customWidth="1"/>
    <col min="8457" max="8457" width="16.3515625" style="104" customWidth="1"/>
    <col min="8458" max="8458" width="13.87890625" style="104" customWidth="1"/>
    <col min="8459" max="8462" width="11.64453125" style="104" customWidth="1"/>
    <col min="8463" max="8463" width="20.1171875" style="104" customWidth="1"/>
    <col min="8464" max="8465" width="2.64453125" style="104" customWidth="1"/>
    <col min="8466" max="8684" width="8.87890625" style="104"/>
    <col min="8685" max="8685" width="14.3515625" style="104" customWidth="1"/>
    <col min="8686" max="8686" width="21.87890625" style="104" customWidth="1"/>
    <col min="8687" max="8687" width="16" style="104" customWidth="1"/>
    <col min="8688" max="8688" width="54" style="104" customWidth="1"/>
    <col min="8689" max="8689" width="22.1171875" style="104" customWidth="1"/>
    <col min="8690" max="8690" width="21.46875" style="104" customWidth="1"/>
    <col min="8691" max="8691" width="17.87890625" style="104" customWidth="1"/>
    <col min="8692" max="8692" width="17" style="104" customWidth="1"/>
    <col min="8693" max="8694" width="28.1171875" style="104" customWidth="1"/>
    <col min="8695" max="8695" width="26.46875" style="104" customWidth="1"/>
    <col min="8696" max="8712" width="11.64453125" style="104" customWidth="1"/>
    <col min="8713" max="8713" width="16.3515625" style="104" customWidth="1"/>
    <col min="8714" max="8714" width="13.87890625" style="104" customWidth="1"/>
    <col min="8715" max="8718" width="11.64453125" style="104" customWidth="1"/>
    <col min="8719" max="8719" width="20.1171875" style="104" customWidth="1"/>
    <col min="8720" max="8721" width="2.64453125" style="104" customWidth="1"/>
    <col min="8722" max="8940" width="8.87890625" style="104"/>
    <col min="8941" max="8941" width="14.3515625" style="104" customWidth="1"/>
    <col min="8942" max="8942" width="21.87890625" style="104" customWidth="1"/>
    <col min="8943" max="8943" width="16" style="104" customWidth="1"/>
    <col min="8944" max="8944" width="54" style="104" customWidth="1"/>
    <col min="8945" max="8945" width="22.1171875" style="104" customWidth="1"/>
    <col min="8946" max="8946" width="21.46875" style="104" customWidth="1"/>
    <col min="8947" max="8947" width="17.87890625" style="104" customWidth="1"/>
    <col min="8948" max="8948" width="17" style="104" customWidth="1"/>
    <col min="8949" max="8950" width="28.1171875" style="104" customWidth="1"/>
    <col min="8951" max="8951" width="26.46875" style="104" customWidth="1"/>
    <col min="8952" max="8968" width="11.64453125" style="104" customWidth="1"/>
    <col min="8969" max="8969" width="16.3515625" style="104" customWidth="1"/>
    <col min="8970" max="8970" width="13.87890625" style="104" customWidth="1"/>
    <col min="8971" max="8974" width="11.64453125" style="104" customWidth="1"/>
    <col min="8975" max="8975" width="20.1171875" style="104" customWidth="1"/>
    <col min="8976" max="8977" width="2.64453125" style="104" customWidth="1"/>
    <col min="8978" max="9196" width="8.87890625" style="104"/>
    <col min="9197" max="9197" width="14.3515625" style="104" customWidth="1"/>
    <col min="9198" max="9198" width="21.87890625" style="104" customWidth="1"/>
    <col min="9199" max="9199" width="16" style="104" customWidth="1"/>
    <col min="9200" max="9200" width="54" style="104" customWidth="1"/>
    <col min="9201" max="9201" width="22.1171875" style="104" customWidth="1"/>
    <col min="9202" max="9202" width="21.46875" style="104" customWidth="1"/>
    <col min="9203" max="9203" width="17.87890625" style="104" customWidth="1"/>
    <col min="9204" max="9204" width="17" style="104" customWidth="1"/>
    <col min="9205" max="9206" width="28.1171875" style="104" customWidth="1"/>
    <col min="9207" max="9207" width="26.46875" style="104" customWidth="1"/>
    <col min="9208" max="9224" width="11.64453125" style="104" customWidth="1"/>
    <col min="9225" max="9225" width="16.3515625" style="104" customWidth="1"/>
    <col min="9226" max="9226" width="13.87890625" style="104" customWidth="1"/>
    <col min="9227" max="9230" width="11.64453125" style="104" customWidth="1"/>
    <col min="9231" max="9231" width="20.1171875" style="104" customWidth="1"/>
    <col min="9232" max="9233" width="2.64453125" style="104" customWidth="1"/>
    <col min="9234" max="9452" width="8.87890625" style="104"/>
    <col min="9453" max="9453" width="14.3515625" style="104" customWidth="1"/>
    <col min="9454" max="9454" width="21.87890625" style="104" customWidth="1"/>
    <col min="9455" max="9455" width="16" style="104" customWidth="1"/>
    <col min="9456" max="9456" width="54" style="104" customWidth="1"/>
    <col min="9457" max="9457" width="22.1171875" style="104" customWidth="1"/>
    <col min="9458" max="9458" width="21.46875" style="104" customWidth="1"/>
    <col min="9459" max="9459" width="17.87890625" style="104" customWidth="1"/>
    <col min="9460" max="9460" width="17" style="104" customWidth="1"/>
    <col min="9461" max="9462" width="28.1171875" style="104" customWidth="1"/>
    <col min="9463" max="9463" width="26.46875" style="104" customWidth="1"/>
    <col min="9464" max="9480" width="11.64453125" style="104" customWidth="1"/>
    <col min="9481" max="9481" width="16.3515625" style="104" customWidth="1"/>
    <col min="9482" max="9482" width="13.87890625" style="104" customWidth="1"/>
    <col min="9483" max="9486" width="11.64453125" style="104" customWidth="1"/>
    <col min="9487" max="9487" width="20.1171875" style="104" customWidth="1"/>
    <col min="9488" max="9489" width="2.64453125" style="104" customWidth="1"/>
    <col min="9490" max="9708" width="8.87890625" style="104"/>
    <col min="9709" max="9709" width="14.3515625" style="104" customWidth="1"/>
    <col min="9710" max="9710" width="21.87890625" style="104" customWidth="1"/>
    <col min="9711" max="9711" width="16" style="104" customWidth="1"/>
    <col min="9712" max="9712" width="54" style="104" customWidth="1"/>
    <col min="9713" max="9713" width="22.1171875" style="104" customWidth="1"/>
    <col min="9714" max="9714" width="21.46875" style="104" customWidth="1"/>
    <col min="9715" max="9715" width="17.87890625" style="104" customWidth="1"/>
    <col min="9716" max="9716" width="17" style="104" customWidth="1"/>
    <col min="9717" max="9718" width="28.1171875" style="104" customWidth="1"/>
    <col min="9719" max="9719" width="26.46875" style="104" customWidth="1"/>
    <col min="9720" max="9736" width="11.64453125" style="104" customWidth="1"/>
    <col min="9737" max="9737" width="16.3515625" style="104" customWidth="1"/>
    <col min="9738" max="9738" width="13.87890625" style="104" customWidth="1"/>
    <col min="9739" max="9742" width="11.64453125" style="104" customWidth="1"/>
    <col min="9743" max="9743" width="20.1171875" style="104" customWidth="1"/>
    <col min="9744" max="9745" width="2.64453125" style="104" customWidth="1"/>
    <col min="9746" max="9964" width="8.87890625" style="104"/>
    <col min="9965" max="9965" width="14.3515625" style="104" customWidth="1"/>
    <col min="9966" max="9966" width="21.87890625" style="104" customWidth="1"/>
    <col min="9967" max="9967" width="16" style="104" customWidth="1"/>
    <col min="9968" max="9968" width="54" style="104" customWidth="1"/>
    <col min="9969" max="9969" width="22.1171875" style="104" customWidth="1"/>
    <col min="9970" max="9970" width="21.46875" style="104" customWidth="1"/>
    <col min="9971" max="9971" width="17.87890625" style="104" customWidth="1"/>
    <col min="9972" max="9972" width="17" style="104" customWidth="1"/>
    <col min="9973" max="9974" width="28.1171875" style="104" customWidth="1"/>
    <col min="9975" max="9975" width="26.46875" style="104" customWidth="1"/>
    <col min="9976" max="9992" width="11.64453125" style="104" customWidth="1"/>
    <col min="9993" max="9993" width="16.3515625" style="104" customWidth="1"/>
    <col min="9994" max="9994" width="13.87890625" style="104" customWidth="1"/>
    <col min="9995" max="9998" width="11.64453125" style="104" customWidth="1"/>
    <col min="9999" max="9999" width="20.1171875" style="104" customWidth="1"/>
    <col min="10000" max="10001" width="2.64453125" style="104" customWidth="1"/>
    <col min="10002" max="10220" width="8.87890625" style="104"/>
    <col min="10221" max="10221" width="14.3515625" style="104" customWidth="1"/>
    <col min="10222" max="10222" width="21.87890625" style="104" customWidth="1"/>
    <col min="10223" max="10223" width="16" style="104" customWidth="1"/>
    <col min="10224" max="10224" width="54" style="104" customWidth="1"/>
    <col min="10225" max="10225" width="22.1171875" style="104" customWidth="1"/>
    <col min="10226" max="10226" width="21.46875" style="104" customWidth="1"/>
    <col min="10227" max="10227" width="17.87890625" style="104" customWidth="1"/>
    <col min="10228" max="10228" width="17" style="104" customWidth="1"/>
    <col min="10229" max="10230" width="28.1171875" style="104" customWidth="1"/>
    <col min="10231" max="10231" width="26.46875" style="104" customWidth="1"/>
    <col min="10232" max="10248" width="11.64453125" style="104" customWidth="1"/>
    <col min="10249" max="10249" width="16.3515625" style="104" customWidth="1"/>
    <col min="10250" max="10250" width="13.87890625" style="104" customWidth="1"/>
    <col min="10251" max="10254" width="11.64453125" style="104" customWidth="1"/>
    <col min="10255" max="10255" width="20.1171875" style="104" customWidth="1"/>
    <col min="10256" max="10257" width="2.64453125" style="104" customWidth="1"/>
    <col min="10258" max="10476" width="8.87890625" style="104"/>
    <col min="10477" max="10477" width="14.3515625" style="104" customWidth="1"/>
    <col min="10478" max="10478" width="21.87890625" style="104" customWidth="1"/>
    <col min="10479" max="10479" width="16" style="104" customWidth="1"/>
    <col min="10480" max="10480" width="54" style="104" customWidth="1"/>
    <col min="10481" max="10481" width="22.1171875" style="104" customWidth="1"/>
    <col min="10482" max="10482" width="21.46875" style="104" customWidth="1"/>
    <col min="10483" max="10483" width="17.87890625" style="104" customWidth="1"/>
    <col min="10484" max="10484" width="17" style="104" customWidth="1"/>
    <col min="10485" max="10486" width="28.1171875" style="104" customWidth="1"/>
    <col min="10487" max="10487" width="26.46875" style="104" customWidth="1"/>
    <col min="10488" max="10504" width="11.64453125" style="104" customWidth="1"/>
    <col min="10505" max="10505" width="16.3515625" style="104" customWidth="1"/>
    <col min="10506" max="10506" width="13.87890625" style="104" customWidth="1"/>
    <col min="10507" max="10510" width="11.64453125" style="104" customWidth="1"/>
    <col min="10511" max="10511" width="20.1171875" style="104" customWidth="1"/>
    <col min="10512" max="10513" width="2.64453125" style="104" customWidth="1"/>
    <col min="10514" max="10732" width="8.87890625" style="104"/>
    <col min="10733" max="10733" width="14.3515625" style="104" customWidth="1"/>
    <col min="10734" max="10734" width="21.87890625" style="104" customWidth="1"/>
    <col min="10735" max="10735" width="16" style="104" customWidth="1"/>
    <col min="10736" max="10736" width="54" style="104" customWidth="1"/>
    <col min="10737" max="10737" width="22.1171875" style="104" customWidth="1"/>
    <col min="10738" max="10738" width="21.46875" style="104" customWidth="1"/>
    <col min="10739" max="10739" width="17.87890625" style="104" customWidth="1"/>
    <col min="10740" max="10740" width="17" style="104" customWidth="1"/>
    <col min="10741" max="10742" width="28.1171875" style="104" customWidth="1"/>
    <col min="10743" max="10743" width="26.46875" style="104" customWidth="1"/>
    <col min="10744" max="10760" width="11.64453125" style="104" customWidth="1"/>
    <col min="10761" max="10761" width="16.3515625" style="104" customWidth="1"/>
    <col min="10762" max="10762" width="13.87890625" style="104" customWidth="1"/>
    <col min="10763" max="10766" width="11.64453125" style="104" customWidth="1"/>
    <col min="10767" max="10767" width="20.1171875" style="104" customWidth="1"/>
    <col min="10768" max="10769" width="2.64453125" style="104" customWidth="1"/>
    <col min="10770" max="10988" width="8.87890625" style="104"/>
    <col min="10989" max="10989" width="14.3515625" style="104" customWidth="1"/>
    <col min="10990" max="10990" width="21.87890625" style="104" customWidth="1"/>
    <col min="10991" max="10991" width="16" style="104" customWidth="1"/>
    <col min="10992" max="10992" width="54" style="104" customWidth="1"/>
    <col min="10993" max="10993" width="22.1171875" style="104" customWidth="1"/>
    <col min="10994" max="10994" width="21.46875" style="104" customWidth="1"/>
    <col min="10995" max="10995" width="17.87890625" style="104" customWidth="1"/>
    <col min="10996" max="10996" width="17" style="104" customWidth="1"/>
    <col min="10997" max="10998" width="28.1171875" style="104" customWidth="1"/>
    <col min="10999" max="10999" width="26.46875" style="104" customWidth="1"/>
    <col min="11000" max="11016" width="11.64453125" style="104" customWidth="1"/>
    <col min="11017" max="11017" width="16.3515625" style="104" customWidth="1"/>
    <col min="11018" max="11018" width="13.87890625" style="104" customWidth="1"/>
    <col min="11019" max="11022" width="11.64453125" style="104" customWidth="1"/>
    <col min="11023" max="11023" width="20.1171875" style="104" customWidth="1"/>
    <col min="11024" max="11025" width="2.64453125" style="104" customWidth="1"/>
    <col min="11026" max="11244" width="8.87890625" style="104"/>
    <col min="11245" max="11245" width="14.3515625" style="104" customWidth="1"/>
    <col min="11246" max="11246" width="21.87890625" style="104" customWidth="1"/>
    <col min="11247" max="11247" width="16" style="104" customWidth="1"/>
    <col min="11248" max="11248" width="54" style="104" customWidth="1"/>
    <col min="11249" max="11249" width="22.1171875" style="104" customWidth="1"/>
    <col min="11250" max="11250" width="21.46875" style="104" customWidth="1"/>
    <col min="11251" max="11251" width="17.87890625" style="104" customWidth="1"/>
    <col min="11252" max="11252" width="17" style="104" customWidth="1"/>
    <col min="11253" max="11254" width="28.1171875" style="104" customWidth="1"/>
    <col min="11255" max="11255" width="26.46875" style="104" customWidth="1"/>
    <col min="11256" max="11272" width="11.64453125" style="104" customWidth="1"/>
    <col min="11273" max="11273" width="16.3515625" style="104" customWidth="1"/>
    <col min="11274" max="11274" width="13.87890625" style="104" customWidth="1"/>
    <col min="11275" max="11278" width="11.64453125" style="104" customWidth="1"/>
    <col min="11279" max="11279" width="20.1171875" style="104" customWidth="1"/>
    <col min="11280" max="11281" width="2.64453125" style="104" customWidth="1"/>
    <col min="11282" max="11500" width="8.87890625" style="104"/>
    <col min="11501" max="11501" width="14.3515625" style="104" customWidth="1"/>
    <col min="11502" max="11502" width="21.87890625" style="104" customWidth="1"/>
    <col min="11503" max="11503" width="16" style="104" customWidth="1"/>
    <col min="11504" max="11504" width="54" style="104" customWidth="1"/>
    <col min="11505" max="11505" width="22.1171875" style="104" customWidth="1"/>
    <col min="11506" max="11506" width="21.46875" style="104" customWidth="1"/>
    <col min="11507" max="11507" width="17.87890625" style="104" customWidth="1"/>
    <col min="11508" max="11508" width="17" style="104" customWidth="1"/>
    <col min="11509" max="11510" width="28.1171875" style="104" customWidth="1"/>
    <col min="11511" max="11511" width="26.46875" style="104" customWidth="1"/>
    <col min="11512" max="11528" width="11.64453125" style="104" customWidth="1"/>
    <col min="11529" max="11529" width="16.3515625" style="104" customWidth="1"/>
    <col min="11530" max="11530" width="13.87890625" style="104" customWidth="1"/>
    <col min="11531" max="11534" width="11.64453125" style="104" customWidth="1"/>
    <col min="11535" max="11535" width="20.1171875" style="104" customWidth="1"/>
    <col min="11536" max="11537" width="2.64453125" style="104" customWidth="1"/>
    <col min="11538" max="11756" width="8.87890625" style="104"/>
    <col min="11757" max="11757" width="14.3515625" style="104" customWidth="1"/>
    <col min="11758" max="11758" width="21.87890625" style="104" customWidth="1"/>
    <col min="11759" max="11759" width="16" style="104" customWidth="1"/>
    <col min="11760" max="11760" width="54" style="104" customWidth="1"/>
    <col min="11761" max="11761" width="22.1171875" style="104" customWidth="1"/>
    <col min="11762" max="11762" width="21.46875" style="104" customWidth="1"/>
    <col min="11763" max="11763" width="17.87890625" style="104" customWidth="1"/>
    <col min="11764" max="11764" width="17" style="104" customWidth="1"/>
    <col min="11765" max="11766" width="28.1171875" style="104" customWidth="1"/>
    <col min="11767" max="11767" width="26.46875" style="104" customWidth="1"/>
    <col min="11768" max="11784" width="11.64453125" style="104" customWidth="1"/>
    <col min="11785" max="11785" width="16.3515625" style="104" customWidth="1"/>
    <col min="11786" max="11786" width="13.87890625" style="104" customWidth="1"/>
    <col min="11787" max="11790" width="11.64453125" style="104" customWidth="1"/>
    <col min="11791" max="11791" width="20.1171875" style="104" customWidth="1"/>
    <col min="11792" max="11793" width="2.64453125" style="104" customWidth="1"/>
    <col min="11794" max="12012" width="8.87890625" style="104"/>
    <col min="12013" max="12013" width="14.3515625" style="104" customWidth="1"/>
    <col min="12014" max="12014" width="21.87890625" style="104" customWidth="1"/>
    <col min="12015" max="12015" width="16" style="104" customWidth="1"/>
    <col min="12016" max="12016" width="54" style="104" customWidth="1"/>
    <col min="12017" max="12017" width="22.1171875" style="104" customWidth="1"/>
    <col min="12018" max="12018" width="21.46875" style="104" customWidth="1"/>
    <col min="12019" max="12019" width="17.87890625" style="104" customWidth="1"/>
    <col min="12020" max="12020" width="17" style="104" customWidth="1"/>
    <col min="12021" max="12022" width="28.1171875" style="104" customWidth="1"/>
    <col min="12023" max="12023" width="26.46875" style="104" customWidth="1"/>
    <col min="12024" max="12040" width="11.64453125" style="104" customWidth="1"/>
    <col min="12041" max="12041" width="16.3515625" style="104" customWidth="1"/>
    <col min="12042" max="12042" width="13.87890625" style="104" customWidth="1"/>
    <col min="12043" max="12046" width="11.64453125" style="104" customWidth="1"/>
    <col min="12047" max="12047" width="20.1171875" style="104" customWidth="1"/>
    <col min="12048" max="12049" width="2.64453125" style="104" customWidth="1"/>
    <col min="12050" max="12268" width="8.87890625" style="104"/>
    <col min="12269" max="12269" width="14.3515625" style="104" customWidth="1"/>
    <col min="12270" max="12270" width="21.87890625" style="104" customWidth="1"/>
    <col min="12271" max="12271" width="16" style="104" customWidth="1"/>
    <col min="12272" max="12272" width="54" style="104" customWidth="1"/>
    <col min="12273" max="12273" width="22.1171875" style="104" customWidth="1"/>
    <col min="12274" max="12274" width="21.46875" style="104" customWidth="1"/>
    <col min="12275" max="12275" width="17.87890625" style="104" customWidth="1"/>
    <col min="12276" max="12276" width="17" style="104" customWidth="1"/>
    <col min="12277" max="12278" width="28.1171875" style="104" customWidth="1"/>
    <col min="12279" max="12279" width="26.46875" style="104" customWidth="1"/>
    <col min="12280" max="12296" width="11.64453125" style="104" customWidth="1"/>
    <col min="12297" max="12297" width="16.3515625" style="104" customWidth="1"/>
    <col min="12298" max="12298" width="13.87890625" style="104" customWidth="1"/>
    <col min="12299" max="12302" width="11.64453125" style="104" customWidth="1"/>
    <col min="12303" max="12303" width="20.1171875" style="104" customWidth="1"/>
    <col min="12304" max="12305" width="2.64453125" style="104" customWidth="1"/>
    <col min="12306" max="12524" width="8.87890625" style="104"/>
    <col min="12525" max="12525" width="14.3515625" style="104" customWidth="1"/>
    <col min="12526" max="12526" width="21.87890625" style="104" customWidth="1"/>
    <col min="12527" max="12527" width="16" style="104" customWidth="1"/>
    <col min="12528" max="12528" width="54" style="104" customWidth="1"/>
    <col min="12529" max="12529" width="22.1171875" style="104" customWidth="1"/>
    <col min="12530" max="12530" width="21.46875" style="104" customWidth="1"/>
    <col min="12531" max="12531" width="17.87890625" style="104" customWidth="1"/>
    <col min="12532" max="12532" width="17" style="104" customWidth="1"/>
    <col min="12533" max="12534" width="28.1171875" style="104" customWidth="1"/>
    <col min="12535" max="12535" width="26.46875" style="104" customWidth="1"/>
    <col min="12536" max="12552" width="11.64453125" style="104" customWidth="1"/>
    <col min="12553" max="12553" width="16.3515625" style="104" customWidth="1"/>
    <col min="12554" max="12554" width="13.87890625" style="104" customWidth="1"/>
    <col min="12555" max="12558" width="11.64453125" style="104" customWidth="1"/>
    <col min="12559" max="12559" width="20.1171875" style="104" customWidth="1"/>
    <col min="12560" max="12561" width="2.64453125" style="104" customWidth="1"/>
    <col min="12562" max="12780" width="8.87890625" style="104"/>
    <col min="12781" max="12781" width="14.3515625" style="104" customWidth="1"/>
    <col min="12782" max="12782" width="21.87890625" style="104" customWidth="1"/>
    <col min="12783" max="12783" width="16" style="104" customWidth="1"/>
    <col min="12784" max="12784" width="54" style="104" customWidth="1"/>
    <col min="12785" max="12785" width="22.1171875" style="104" customWidth="1"/>
    <col min="12786" max="12786" width="21.46875" style="104" customWidth="1"/>
    <col min="12787" max="12787" width="17.87890625" style="104" customWidth="1"/>
    <col min="12788" max="12788" width="17" style="104" customWidth="1"/>
    <col min="12789" max="12790" width="28.1171875" style="104" customWidth="1"/>
    <col min="12791" max="12791" width="26.46875" style="104" customWidth="1"/>
    <col min="12792" max="12808" width="11.64453125" style="104" customWidth="1"/>
    <col min="12809" max="12809" width="16.3515625" style="104" customWidth="1"/>
    <col min="12810" max="12810" width="13.87890625" style="104" customWidth="1"/>
    <col min="12811" max="12814" width="11.64453125" style="104" customWidth="1"/>
    <col min="12815" max="12815" width="20.1171875" style="104" customWidth="1"/>
    <col min="12816" max="12817" width="2.64453125" style="104" customWidth="1"/>
    <col min="12818" max="13036" width="8.87890625" style="104"/>
    <col min="13037" max="13037" width="14.3515625" style="104" customWidth="1"/>
    <col min="13038" max="13038" width="21.87890625" style="104" customWidth="1"/>
    <col min="13039" max="13039" width="16" style="104" customWidth="1"/>
    <col min="13040" max="13040" width="54" style="104" customWidth="1"/>
    <col min="13041" max="13041" width="22.1171875" style="104" customWidth="1"/>
    <col min="13042" max="13042" width="21.46875" style="104" customWidth="1"/>
    <col min="13043" max="13043" width="17.87890625" style="104" customWidth="1"/>
    <col min="13044" max="13044" width="17" style="104" customWidth="1"/>
    <col min="13045" max="13046" width="28.1171875" style="104" customWidth="1"/>
    <col min="13047" max="13047" width="26.46875" style="104" customWidth="1"/>
    <col min="13048" max="13064" width="11.64453125" style="104" customWidth="1"/>
    <col min="13065" max="13065" width="16.3515625" style="104" customWidth="1"/>
    <col min="13066" max="13066" width="13.87890625" style="104" customWidth="1"/>
    <col min="13067" max="13070" width="11.64453125" style="104" customWidth="1"/>
    <col min="13071" max="13071" width="20.1171875" style="104" customWidth="1"/>
    <col min="13072" max="13073" width="2.64453125" style="104" customWidth="1"/>
    <col min="13074" max="13292" width="8.87890625" style="104"/>
    <col min="13293" max="13293" width="14.3515625" style="104" customWidth="1"/>
    <col min="13294" max="13294" width="21.87890625" style="104" customWidth="1"/>
    <col min="13295" max="13295" width="16" style="104" customWidth="1"/>
    <col min="13296" max="13296" width="54" style="104" customWidth="1"/>
    <col min="13297" max="13297" width="22.1171875" style="104" customWidth="1"/>
    <col min="13298" max="13298" width="21.46875" style="104" customWidth="1"/>
    <col min="13299" max="13299" width="17.87890625" style="104" customWidth="1"/>
    <col min="13300" max="13300" width="17" style="104" customWidth="1"/>
    <col min="13301" max="13302" width="28.1171875" style="104" customWidth="1"/>
    <col min="13303" max="13303" width="26.46875" style="104" customWidth="1"/>
    <col min="13304" max="13320" width="11.64453125" style="104" customWidth="1"/>
    <col min="13321" max="13321" width="16.3515625" style="104" customWidth="1"/>
    <col min="13322" max="13322" width="13.87890625" style="104" customWidth="1"/>
    <col min="13323" max="13326" width="11.64453125" style="104" customWidth="1"/>
    <col min="13327" max="13327" width="20.1171875" style="104" customWidth="1"/>
    <col min="13328" max="13329" width="2.64453125" style="104" customWidth="1"/>
    <col min="13330" max="13548" width="8.87890625" style="104"/>
    <col min="13549" max="13549" width="14.3515625" style="104" customWidth="1"/>
    <col min="13550" max="13550" width="21.87890625" style="104" customWidth="1"/>
    <col min="13551" max="13551" width="16" style="104" customWidth="1"/>
    <col min="13552" max="13552" width="54" style="104" customWidth="1"/>
    <col min="13553" max="13553" width="22.1171875" style="104" customWidth="1"/>
    <col min="13554" max="13554" width="21.46875" style="104" customWidth="1"/>
    <col min="13555" max="13555" width="17.87890625" style="104" customWidth="1"/>
    <col min="13556" max="13556" width="17" style="104" customWidth="1"/>
    <col min="13557" max="13558" width="28.1171875" style="104" customWidth="1"/>
    <col min="13559" max="13559" width="26.46875" style="104" customWidth="1"/>
    <col min="13560" max="13576" width="11.64453125" style="104" customWidth="1"/>
    <col min="13577" max="13577" width="16.3515625" style="104" customWidth="1"/>
    <col min="13578" max="13578" width="13.87890625" style="104" customWidth="1"/>
    <col min="13579" max="13582" width="11.64453125" style="104" customWidth="1"/>
    <col min="13583" max="13583" width="20.1171875" style="104" customWidth="1"/>
    <col min="13584" max="13585" width="2.64453125" style="104" customWidth="1"/>
    <col min="13586" max="13804" width="8.87890625" style="104"/>
    <col min="13805" max="13805" width="14.3515625" style="104" customWidth="1"/>
    <col min="13806" max="13806" width="21.87890625" style="104" customWidth="1"/>
    <col min="13807" max="13807" width="16" style="104" customWidth="1"/>
    <col min="13808" max="13808" width="54" style="104" customWidth="1"/>
    <col min="13809" max="13809" width="22.1171875" style="104" customWidth="1"/>
    <col min="13810" max="13810" width="21.46875" style="104" customWidth="1"/>
    <col min="13811" max="13811" width="17.87890625" style="104" customWidth="1"/>
    <col min="13812" max="13812" width="17" style="104" customWidth="1"/>
    <col min="13813" max="13814" width="28.1171875" style="104" customWidth="1"/>
    <col min="13815" max="13815" width="26.46875" style="104" customWidth="1"/>
    <col min="13816" max="13832" width="11.64453125" style="104" customWidth="1"/>
    <col min="13833" max="13833" width="16.3515625" style="104" customWidth="1"/>
    <col min="13834" max="13834" width="13.87890625" style="104" customWidth="1"/>
    <col min="13835" max="13838" width="11.64453125" style="104" customWidth="1"/>
    <col min="13839" max="13839" width="20.1171875" style="104" customWidth="1"/>
    <col min="13840" max="13841" width="2.64453125" style="104" customWidth="1"/>
    <col min="13842" max="14060" width="8.87890625" style="104"/>
    <col min="14061" max="14061" width="14.3515625" style="104" customWidth="1"/>
    <col min="14062" max="14062" width="21.87890625" style="104" customWidth="1"/>
    <col min="14063" max="14063" width="16" style="104" customWidth="1"/>
    <col min="14064" max="14064" width="54" style="104" customWidth="1"/>
    <col min="14065" max="14065" width="22.1171875" style="104" customWidth="1"/>
    <col min="14066" max="14066" width="21.46875" style="104" customWidth="1"/>
    <col min="14067" max="14067" width="17.87890625" style="104" customWidth="1"/>
    <col min="14068" max="14068" width="17" style="104" customWidth="1"/>
    <col min="14069" max="14070" width="28.1171875" style="104" customWidth="1"/>
    <col min="14071" max="14071" width="26.46875" style="104" customWidth="1"/>
    <col min="14072" max="14088" width="11.64453125" style="104" customWidth="1"/>
    <col min="14089" max="14089" width="16.3515625" style="104" customWidth="1"/>
    <col min="14090" max="14090" width="13.87890625" style="104" customWidth="1"/>
    <col min="14091" max="14094" width="11.64453125" style="104" customWidth="1"/>
    <col min="14095" max="14095" width="20.1171875" style="104" customWidth="1"/>
    <col min="14096" max="14097" width="2.64453125" style="104" customWidth="1"/>
    <col min="14098" max="14316" width="8.87890625" style="104"/>
    <col min="14317" max="14317" width="14.3515625" style="104" customWidth="1"/>
    <col min="14318" max="14318" width="21.87890625" style="104" customWidth="1"/>
    <col min="14319" max="14319" width="16" style="104" customWidth="1"/>
    <col min="14320" max="14320" width="54" style="104" customWidth="1"/>
    <col min="14321" max="14321" width="22.1171875" style="104" customWidth="1"/>
    <col min="14322" max="14322" width="21.46875" style="104" customWidth="1"/>
    <col min="14323" max="14323" width="17.87890625" style="104" customWidth="1"/>
    <col min="14324" max="14324" width="17" style="104" customWidth="1"/>
    <col min="14325" max="14326" width="28.1171875" style="104" customWidth="1"/>
    <col min="14327" max="14327" width="26.46875" style="104" customWidth="1"/>
    <col min="14328" max="14344" width="11.64453125" style="104" customWidth="1"/>
    <col min="14345" max="14345" width="16.3515625" style="104" customWidth="1"/>
    <col min="14346" max="14346" width="13.87890625" style="104" customWidth="1"/>
    <col min="14347" max="14350" width="11.64453125" style="104" customWidth="1"/>
    <col min="14351" max="14351" width="20.1171875" style="104" customWidth="1"/>
    <col min="14352" max="14353" width="2.64453125" style="104" customWidth="1"/>
    <col min="14354" max="14572" width="8.87890625" style="104"/>
    <col min="14573" max="14573" width="14.3515625" style="104" customWidth="1"/>
    <col min="14574" max="14574" width="21.87890625" style="104" customWidth="1"/>
    <col min="14575" max="14575" width="16" style="104" customWidth="1"/>
    <col min="14576" max="14576" width="54" style="104" customWidth="1"/>
    <col min="14577" max="14577" width="22.1171875" style="104" customWidth="1"/>
    <col min="14578" max="14578" width="21.46875" style="104" customWidth="1"/>
    <col min="14579" max="14579" width="17.87890625" style="104" customWidth="1"/>
    <col min="14580" max="14580" width="17" style="104" customWidth="1"/>
    <col min="14581" max="14582" width="28.1171875" style="104" customWidth="1"/>
    <col min="14583" max="14583" width="26.46875" style="104" customWidth="1"/>
    <col min="14584" max="14600" width="11.64453125" style="104" customWidth="1"/>
    <col min="14601" max="14601" width="16.3515625" style="104" customWidth="1"/>
    <col min="14602" max="14602" width="13.87890625" style="104" customWidth="1"/>
    <col min="14603" max="14606" width="11.64453125" style="104" customWidth="1"/>
    <col min="14607" max="14607" width="20.1171875" style="104" customWidth="1"/>
    <col min="14608" max="14609" width="2.64453125" style="104" customWidth="1"/>
    <col min="14610" max="14828" width="8.87890625" style="104"/>
    <col min="14829" max="14829" width="14.3515625" style="104" customWidth="1"/>
    <col min="14830" max="14830" width="21.87890625" style="104" customWidth="1"/>
    <col min="14831" max="14831" width="16" style="104" customWidth="1"/>
    <col min="14832" max="14832" width="54" style="104" customWidth="1"/>
    <col min="14833" max="14833" width="22.1171875" style="104" customWidth="1"/>
    <col min="14834" max="14834" width="21.46875" style="104" customWidth="1"/>
    <col min="14835" max="14835" width="17.87890625" style="104" customWidth="1"/>
    <col min="14836" max="14836" width="17" style="104" customWidth="1"/>
    <col min="14837" max="14838" width="28.1171875" style="104" customWidth="1"/>
    <col min="14839" max="14839" width="26.46875" style="104" customWidth="1"/>
    <col min="14840" max="14856" width="11.64453125" style="104" customWidth="1"/>
    <col min="14857" max="14857" width="16.3515625" style="104" customWidth="1"/>
    <col min="14858" max="14858" width="13.87890625" style="104" customWidth="1"/>
    <col min="14859" max="14862" width="11.64453125" style="104" customWidth="1"/>
    <col min="14863" max="14863" width="20.1171875" style="104" customWidth="1"/>
    <col min="14864" max="14865" width="2.64453125" style="104" customWidth="1"/>
    <col min="14866" max="15084" width="8.87890625" style="104"/>
    <col min="15085" max="15085" width="14.3515625" style="104" customWidth="1"/>
    <col min="15086" max="15086" width="21.87890625" style="104" customWidth="1"/>
    <col min="15087" max="15087" width="16" style="104" customWidth="1"/>
    <col min="15088" max="15088" width="54" style="104" customWidth="1"/>
    <col min="15089" max="15089" width="22.1171875" style="104" customWidth="1"/>
    <col min="15090" max="15090" width="21.46875" style="104" customWidth="1"/>
    <col min="15091" max="15091" width="17.87890625" style="104" customWidth="1"/>
    <col min="15092" max="15092" width="17" style="104" customWidth="1"/>
    <col min="15093" max="15094" width="28.1171875" style="104" customWidth="1"/>
    <col min="15095" max="15095" width="26.46875" style="104" customWidth="1"/>
    <col min="15096" max="15112" width="11.64453125" style="104" customWidth="1"/>
    <col min="15113" max="15113" width="16.3515625" style="104" customWidth="1"/>
    <col min="15114" max="15114" width="13.87890625" style="104" customWidth="1"/>
    <col min="15115" max="15118" width="11.64453125" style="104" customWidth="1"/>
    <col min="15119" max="15119" width="20.1171875" style="104" customWidth="1"/>
    <col min="15120" max="15121" width="2.64453125" style="104" customWidth="1"/>
    <col min="15122" max="15340" width="8.87890625" style="104"/>
    <col min="15341" max="15341" width="14.3515625" style="104" customWidth="1"/>
    <col min="15342" max="15342" width="21.87890625" style="104" customWidth="1"/>
    <col min="15343" max="15343" width="16" style="104" customWidth="1"/>
    <col min="15344" max="15344" width="54" style="104" customWidth="1"/>
    <col min="15345" max="15345" width="22.1171875" style="104" customWidth="1"/>
    <col min="15346" max="15346" width="21.46875" style="104" customWidth="1"/>
    <col min="15347" max="15347" width="17.87890625" style="104" customWidth="1"/>
    <col min="15348" max="15348" width="17" style="104" customWidth="1"/>
    <col min="15349" max="15350" width="28.1171875" style="104" customWidth="1"/>
    <col min="15351" max="15351" width="26.46875" style="104" customWidth="1"/>
    <col min="15352" max="15368" width="11.64453125" style="104" customWidth="1"/>
    <col min="15369" max="15369" width="16.3515625" style="104" customWidth="1"/>
    <col min="15370" max="15370" width="13.87890625" style="104" customWidth="1"/>
    <col min="15371" max="15374" width="11.64453125" style="104" customWidth="1"/>
    <col min="15375" max="15375" width="20.1171875" style="104" customWidth="1"/>
    <col min="15376" max="15377" width="2.64453125" style="104" customWidth="1"/>
    <col min="15378" max="15596" width="8.87890625" style="104"/>
    <col min="15597" max="15597" width="14.3515625" style="104" customWidth="1"/>
    <col min="15598" max="15598" width="21.87890625" style="104" customWidth="1"/>
    <col min="15599" max="15599" width="16" style="104" customWidth="1"/>
    <col min="15600" max="15600" width="54" style="104" customWidth="1"/>
    <col min="15601" max="15601" width="22.1171875" style="104" customWidth="1"/>
    <col min="15602" max="15602" width="21.46875" style="104" customWidth="1"/>
    <col min="15603" max="15603" width="17.87890625" style="104" customWidth="1"/>
    <col min="15604" max="15604" width="17" style="104" customWidth="1"/>
    <col min="15605" max="15606" width="28.1171875" style="104" customWidth="1"/>
    <col min="15607" max="15607" width="26.46875" style="104" customWidth="1"/>
    <col min="15608" max="15624" width="11.64453125" style="104" customWidth="1"/>
    <col min="15625" max="15625" width="16.3515625" style="104" customWidth="1"/>
    <col min="15626" max="15626" width="13.87890625" style="104" customWidth="1"/>
    <col min="15627" max="15630" width="11.64453125" style="104" customWidth="1"/>
    <col min="15631" max="15631" width="20.1171875" style="104" customWidth="1"/>
    <col min="15632" max="15633" width="2.64453125" style="104" customWidth="1"/>
    <col min="15634" max="15852" width="8.87890625" style="104"/>
    <col min="15853" max="15853" width="14.3515625" style="104" customWidth="1"/>
    <col min="15854" max="15854" width="21.87890625" style="104" customWidth="1"/>
    <col min="15855" max="15855" width="16" style="104" customWidth="1"/>
    <col min="15856" max="15856" width="54" style="104" customWidth="1"/>
    <col min="15857" max="15857" width="22.1171875" style="104" customWidth="1"/>
    <col min="15858" max="15858" width="21.46875" style="104" customWidth="1"/>
    <col min="15859" max="15859" width="17.87890625" style="104" customWidth="1"/>
    <col min="15860" max="15860" width="17" style="104" customWidth="1"/>
    <col min="15861" max="15862" width="28.1171875" style="104" customWidth="1"/>
    <col min="15863" max="15863" width="26.46875" style="104" customWidth="1"/>
    <col min="15864" max="15880" width="11.64453125" style="104" customWidth="1"/>
    <col min="15881" max="15881" width="16.3515625" style="104" customWidth="1"/>
    <col min="15882" max="15882" width="13.87890625" style="104" customWidth="1"/>
    <col min="15883" max="15886" width="11.64453125" style="104" customWidth="1"/>
    <col min="15887" max="15887" width="20.1171875" style="104" customWidth="1"/>
    <col min="15888" max="15889" width="2.64453125" style="104" customWidth="1"/>
    <col min="15890" max="16108" width="8.87890625" style="104"/>
    <col min="16109" max="16109" width="14.3515625" style="104" customWidth="1"/>
    <col min="16110" max="16110" width="21.87890625" style="104" customWidth="1"/>
    <col min="16111" max="16111" width="16" style="104" customWidth="1"/>
    <col min="16112" max="16112" width="54" style="104" customWidth="1"/>
    <col min="16113" max="16113" width="22.1171875" style="104" customWidth="1"/>
    <col min="16114" max="16114" width="21.46875" style="104" customWidth="1"/>
    <col min="16115" max="16115" width="17.87890625" style="104" customWidth="1"/>
    <col min="16116" max="16116" width="17" style="104" customWidth="1"/>
    <col min="16117" max="16118" width="28.1171875" style="104" customWidth="1"/>
    <col min="16119" max="16119" width="26.46875" style="104" customWidth="1"/>
    <col min="16120" max="16136" width="11.64453125" style="104" customWidth="1"/>
    <col min="16137" max="16137" width="16.3515625" style="104" customWidth="1"/>
    <col min="16138" max="16138" width="13.87890625" style="104" customWidth="1"/>
    <col min="16139" max="16142" width="11.64453125" style="104" customWidth="1"/>
    <col min="16143" max="16143" width="20.1171875" style="104" customWidth="1"/>
    <col min="16144" max="16145" width="2.64453125" style="104" customWidth="1"/>
    <col min="16146" max="16384" width="8.87890625" style="104"/>
  </cols>
  <sheetData>
    <row r="1" spans="1:46" s="7" customFormat="1" ht="39.950000000000003" customHeight="1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46" s="7" customFormat="1" ht="39.950000000000003" customHeight="1">
      <c r="A2" s="1" t="s">
        <v>2</v>
      </c>
      <c r="B2" s="8"/>
      <c r="C2" s="9" t="s">
        <v>3</v>
      </c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46" s="7" customFormat="1" ht="39.950000000000003" customHeight="1">
      <c r="A3" s="1" t="s">
        <v>4</v>
      </c>
      <c r="B3" s="8"/>
      <c r="C3" s="9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46" s="7" customFormat="1" ht="39.950000000000003" customHeight="1">
      <c r="A4" s="1" t="s">
        <v>5</v>
      </c>
      <c r="B4" s="8"/>
      <c r="C4" s="3" t="s">
        <v>6</v>
      </c>
      <c r="D4" s="4"/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46" s="7" customFormat="1" ht="39.950000000000003" customHeight="1">
      <c r="A5" s="1" t="s">
        <v>7</v>
      </c>
      <c r="B5" s="8"/>
      <c r="C5" s="9"/>
      <c r="D5" s="4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46" s="7" customFormat="1" ht="39.950000000000003" customHeight="1">
      <c r="A6" s="1" t="s">
        <v>8</v>
      </c>
      <c r="B6" s="8"/>
      <c r="C6" s="9" t="s">
        <v>9</v>
      </c>
      <c r="D6" s="4"/>
      <c r="E6" s="4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46" s="16" customFormat="1" ht="39.950000000000003" customHeight="1" thickBot="1">
      <c r="A7" s="11"/>
      <c r="B7" s="11"/>
      <c r="C7" s="11"/>
      <c r="D7" s="12"/>
      <c r="E7" s="12"/>
      <c r="F7" s="12"/>
      <c r="G7" s="12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46" s="26" customFormat="1" ht="41.85" customHeight="1" thickBot="1">
      <c r="A8" s="17" t="s">
        <v>10</v>
      </c>
      <c r="B8" s="18" t="s">
        <v>11</v>
      </c>
      <c r="C8" s="18" t="s">
        <v>12</v>
      </c>
      <c r="D8" s="19" t="s">
        <v>13</v>
      </c>
      <c r="E8" s="18" t="s">
        <v>14</v>
      </c>
      <c r="F8" s="18" t="s">
        <v>15</v>
      </c>
      <c r="G8" s="20" t="s">
        <v>16</v>
      </c>
      <c r="H8" s="21" t="s">
        <v>17</v>
      </c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 t="s">
        <v>18</v>
      </c>
      <c r="V8" s="23"/>
      <c r="W8" s="24"/>
      <c r="X8" s="24"/>
      <c r="Y8" s="24" t="s">
        <v>18</v>
      </c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/>
    </row>
    <row r="9" spans="1:46" s="26" customFormat="1" ht="41.85" customHeight="1">
      <c r="A9" s="27"/>
      <c r="B9" s="28"/>
      <c r="C9" s="28"/>
      <c r="D9" s="29"/>
      <c r="E9" s="28"/>
      <c r="F9" s="28"/>
      <c r="G9" s="30"/>
      <c r="H9" s="31"/>
      <c r="I9" s="32">
        <v>1</v>
      </c>
      <c r="J9" s="33">
        <v>2</v>
      </c>
      <c r="K9" s="33">
        <v>3</v>
      </c>
      <c r="L9" s="33">
        <v>4</v>
      </c>
      <c r="M9" s="33">
        <v>5</v>
      </c>
      <c r="N9" s="33">
        <v>6</v>
      </c>
      <c r="O9" s="33">
        <v>7</v>
      </c>
      <c r="P9" s="33">
        <v>8</v>
      </c>
      <c r="Q9" s="33">
        <v>9</v>
      </c>
      <c r="R9" s="33">
        <v>10</v>
      </c>
      <c r="S9" s="33">
        <v>11</v>
      </c>
      <c r="T9" s="33">
        <v>12</v>
      </c>
      <c r="U9" s="34">
        <v>46216</v>
      </c>
      <c r="V9" s="35">
        <f>U9+1</f>
        <v>46217</v>
      </c>
      <c r="W9" s="35">
        <f t="shared" ref="W9:AL9" si="0">V9+1</f>
        <v>46218</v>
      </c>
      <c r="X9" s="35">
        <f t="shared" si="0"/>
        <v>46219</v>
      </c>
      <c r="Y9" s="35">
        <f>X9+1</f>
        <v>46220</v>
      </c>
      <c r="Z9" s="35">
        <f t="shared" si="0"/>
        <v>46221</v>
      </c>
      <c r="AA9" s="35">
        <f t="shared" si="0"/>
        <v>46222</v>
      </c>
      <c r="AB9" s="35">
        <f t="shared" si="0"/>
        <v>46223</v>
      </c>
      <c r="AC9" s="35">
        <f t="shared" si="0"/>
        <v>46224</v>
      </c>
      <c r="AD9" s="35">
        <f t="shared" si="0"/>
        <v>46225</v>
      </c>
      <c r="AE9" s="35">
        <f t="shared" si="0"/>
        <v>46226</v>
      </c>
      <c r="AF9" s="35">
        <f t="shared" si="0"/>
        <v>46227</v>
      </c>
      <c r="AG9" s="35">
        <f t="shared" si="0"/>
        <v>46228</v>
      </c>
      <c r="AH9" s="35">
        <f t="shared" si="0"/>
        <v>46229</v>
      </c>
      <c r="AI9" s="35">
        <f t="shared" si="0"/>
        <v>46230</v>
      </c>
      <c r="AJ9" s="35">
        <f t="shared" si="0"/>
        <v>46231</v>
      </c>
      <c r="AK9" s="35">
        <f t="shared" si="0"/>
        <v>46232</v>
      </c>
      <c r="AL9" s="36">
        <f t="shared" si="0"/>
        <v>46233</v>
      </c>
    </row>
    <row r="10" spans="1:46" s="26" customFormat="1" ht="41.85" customHeight="1" thickBot="1">
      <c r="A10" s="37"/>
      <c r="B10" s="38"/>
      <c r="C10" s="38"/>
      <c r="D10" s="39"/>
      <c r="E10" s="38"/>
      <c r="F10" s="38"/>
      <c r="G10" s="40"/>
      <c r="H10" s="41"/>
      <c r="I10" s="42" t="s">
        <v>19</v>
      </c>
      <c r="J10" s="43" t="s">
        <v>20</v>
      </c>
      <c r="K10" s="43" t="s">
        <v>21</v>
      </c>
      <c r="L10" s="44" t="s">
        <v>22</v>
      </c>
      <c r="M10" s="44" t="s">
        <v>23</v>
      </c>
      <c r="N10" s="43" t="s">
        <v>24</v>
      </c>
      <c r="O10" s="43" t="s">
        <v>25</v>
      </c>
      <c r="P10" s="43" t="s">
        <v>26</v>
      </c>
      <c r="Q10" s="43" t="s">
        <v>20</v>
      </c>
      <c r="R10" s="43" t="s">
        <v>21</v>
      </c>
      <c r="S10" s="44" t="s">
        <v>22</v>
      </c>
      <c r="T10" s="44" t="s">
        <v>23</v>
      </c>
      <c r="U10" s="45" t="str">
        <f>MID("日一二三四五六",WEEKDAY(U9,1),1)</f>
        <v>一</v>
      </c>
      <c r="V10" s="46" t="str">
        <f t="shared" ref="V10:AL10" si="1">MID("日一二三四五六",WEEKDAY(V9,1),1)</f>
        <v>二</v>
      </c>
      <c r="W10" s="46" t="str">
        <f t="shared" si="1"/>
        <v>三</v>
      </c>
      <c r="X10" s="46" t="str">
        <f t="shared" si="1"/>
        <v>四</v>
      </c>
      <c r="Y10" s="45" t="str">
        <f>MID("日一二三四五六",WEEKDAY(Y9,1),1)</f>
        <v>五</v>
      </c>
      <c r="Z10" s="46" t="str">
        <f t="shared" si="1"/>
        <v>六</v>
      </c>
      <c r="AA10" s="46" t="str">
        <f t="shared" si="1"/>
        <v>日</v>
      </c>
      <c r="AB10" s="46" t="str">
        <f t="shared" si="1"/>
        <v>一</v>
      </c>
      <c r="AC10" s="46" t="str">
        <f t="shared" si="1"/>
        <v>二</v>
      </c>
      <c r="AD10" s="46" t="str">
        <f t="shared" si="1"/>
        <v>三</v>
      </c>
      <c r="AE10" s="46" t="str">
        <f t="shared" si="1"/>
        <v>四</v>
      </c>
      <c r="AF10" s="46" t="str">
        <f t="shared" si="1"/>
        <v>五</v>
      </c>
      <c r="AG10" s="46" t="str">
        <f t="shared" si="1"/>
        <v>六</v>
      </c>
      <c r="AH10" s="46" t="str">
        <f t="shared" si="1"/>
        <v>日</v>
      </c>
      <c r="AI10" s="46" t="str">
        <f t="shared" si="1"/>
        <v>一</v>
      </c>
      <c r="AJ10" s="46" t="str">
        <f t="shared" si="1"/>
        <v>二</v>
      </c>
      <c r="AK10" s="46" t="str">
        <f t="shared" si="1"/>
        <v>三</v>
      </c>
      <c r="AL10" s="47" t="str">
        <f t="shared" si="1"/>
        <v>四</v>
      </c>
      <c r="AT10" s="48" t="s">
        <v>27</v>
      </c>
    </row>
    <row r="11" spans="1:46" s="60" customFormat="1" ht="88.7" customHeight="1">
      <c r="A11" s="49" t="s">
        <v>44</v>
      </c>
      <c r="B11" s="50" t="s">
        <v>28</v>
      </c>
      <c r="C11" s="51" t="s">
        <v>29</v>
      </c>
      <c r="D11" s="52">
        <f>4000*F11</f>
        <v>1680000</v>
      </c>
      <c r="E11" s="53" t="s">
        <v>46</v>
      </c>
      <c r="F11" s="54">
        <f>SUM(I11:AL11)</f>
        <v>420</v>
      </c>
      <c r="G11" s="55">
        <f>250000/8400*F11*20</f>
        <v>250000</v>
      </c>
      <c r="H11" s="56" t="s">
        <v>31</v>
      </c>
      <c r="I11" s="57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>
        <v>30</v>
      </c>
      <c r="Z11" s="58">
        <f t="shared" ref="Z11:AL12" si="2">Y11</f>
        <v>30</v>
      </c>
      <c r="AA11" s="58">
        <f t="shared" si="2"/>
        <v>30</v>
      </c>
      <c r="AB11" s="58">
        <f t="shared" si="2"/>
        <v>30</v>
      </c>
      <c r="AC11" s="58">
        <f t="shared" si="2"/>
        <v>30</v>
      </c>
      <c r="AD11" s="58">
        <f t="shared" si="2"/>
        <v>30</v>
      </c>
      <c r="AE11" s="58">
        <f t="shared" si="2"/>
        <v>30</v>
      </c>
      <c r="AF11" s="58">
        <f t="shared" si="2"/>
        <v>30</v>
      </c>
      <c r="AG11" s="58">
        <f t="shared" si="2"/>
        <v>30</v>
      </c>
      <c r="AH11" s="58">
        <f t="shared" si="2"/>
        <v>30</v>
      </c>
      <c r="AI11" s="58">
        <f t="shared" si="2"/>
        <v>30</v>
      </c>
      <c r="AJ11" s="58">
        <f t="shared" si="2"/>
        <v>30</v>
      </c>
      <c r="AK11" s="58">
        <f t="shared" si="2"/>
        <v>30</v>
      </c>
      <c r="AL11" s="59">
        <f t="shared" si="2"/>
        <v>30</v>
      </c>
    </row>
    <row r="12" spans="1:46" s="60" customFormat="1" ht="88.7" customHeight="1">
      <c r="A12" s="61" t="s">
        <v>45</v>
      </c>
      <c r="B12" s="62"/>
      <c r="C12" s="63" t="s">
        <v>32</v>
      </c>
      <c r="D12" s="64" t="s">
        <v>33</v>
      </c>
      <c r="E12" s="65"/>
      <c r="F12" s="66">
        <f>SUM(I12:AL12)</f>
        <v>720</v>
      </c>
      <c r="G12" s="67"/>
      <c r="H12" s="68"/>
      <c r="I12" s="6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>
        <v>52</v>
      </c>
      <c r="Z12" s="70">
        <f t="shared" si="2"/>
        <v>52</v>
      </c>
      <c r="AA12" s="70">
        <f t="shared" si="2"/>
        <v>52</v>
      </c>
      <c r="AB12" s="70">
        <f t="shared" si="2"/>
        <v>52</v>
      </c>
      <c r="AC12" s="70">
        <f>AB12</f>
        <v>52</v>
      </c>
      <c r="AD12" s="70">
        <f t="shared" si="2"/>
        <v>52</v>
      </c>
      <c r="AE12" s="70">
        <v>51</v>
      </c>
      <c r="AF12" s="70">
        <f t="shared" si="2"/>
        <v>51</v>
      </c>
      <c r="AG12" s="70">
        <f>AF12</f>
        <v>51</v>
      </c>
      <c r="AH12" s="70">
        <f t="shared" si="2"/>
        <v>51</v>
      </c>
      <c r="AI12" s="70">
        <f t="shared" si="2"/>
        <v>51</v>
      </c>
      <c r="AJ12" s="70">
        <f t="shared" si="2"/>
        <v>51</v>
      </c>
      <c r="AK12" s="70">
        <f t="shared" si="2"/>
        <v>51</v>
      </c>
      <c r="AL12" s="71">
        <f t="shared" si="2"/>
        <v>51</v>
      </c>
    </row>
    <row r="13" spans="1:46" s="60" customFormat="1" ht="88.7" customHeight="1">
      <c r="A13" s="72" t="s">
        <v>44</v>
      </c>
      <c r="B13" s="62" t="s">
        <v>28</v>
      </c>
      <c r="C13" s="63" t="s">
        <v>29</v>
      </c>
      <c r="D13" s="64">
        <f>4000*F13</f>
        <v>168000</v>
      </c>
      <c r="E13" s="65" t="s">
        <v>46</v>
      </c>
      <c r="F13" s="66">
        <f>SUM(I13:AL13)</f>
        <v>42</v>
      </c>
      <c r="G13" s="67" t="s">
        <v>34</v>
      </c>
      <c r="H13" s="68"/>
      <c r="I13" s="69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3">
        <v>42</v>
      </c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/>
    </row>
    <row r="14" spans="1:46" s="60" customFormat="1" ht="88.7" customHeight="1" thickBot="1">
      <c r="A14" s="75" t="s">
        <v>45</v>
      </c>
      <c r="B14" s="76"/>
      <c r="C14" s="77" t="s">
        <v>32</v>
      </c>
      <c r="D14" s="78" t="s">
        <v>33</v>
      </c>
      <c r="E14" s="79"/>
      <c r="F14" s="80">
        <f>SUM(I14:AL14)</f>
        <v>72</v>
      </c>
      <c r="G14" s="81"/>
      <c r="H14" s="82"/>
      <c r="I14" s="83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5">
        <v>72</v>
      </c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6"/>
    </row>
    <row r="15" spans="1:46" s="97" customFormat="1" ht="80.099999999999994" customHeight="1" thickBot="1">
      <c r="A15" s="87"/>
      <c r="B15" s="88" t="s">
        <v>16</v>
      </c>
      <c r="C15" s="88"/>
      <c r="D15" s="89">
        <f>SUM(D11:D12)</f>
        <v>1680000</v>
      </c>
      <c r="E15" s="90"/>
      <c r="F15" s="91">
        <f>SUM(F11:F14)</f>
        <v>1254</v>
      </c>
      <c r="G15" s="92">
        <f>SUM(G11)</f>
        <v>250000</v>
      </c>
      <c r="H15" s="93"/>
      <c r="I15" s="94">
        <f t="shared" ref="I15:N15" si="3">SUM(I11:I12)</f>
        <v>0</v>
      </c>
      <c r="J15" s="95">
        <f t="shared" si="3"/>
        <v>0</v>
      </c>
      <c r="K15" s="95">
        <f t="shared" si="3"/>
        <v>0</v>
      </c>
      <c r="L15" s="95">
        <f t="shared" si="3"/>
        <v>0</v>
      </c>
      <c r="M15" s="95">
        <f t="shared" si="3"/>
        <v>0</v>
      </c>
      <c r="N15" s="95">
        <f t="shared" si="3"/>
        <v>0</v>
      </c>
      <c r="O15" s="95">
        <f t="shared" ref="O15:AL15" si="4">O11+O12</f>
        <v>0</v>
      </c>
      <c r="P15" s="95">
        <f t="shared" si="4"/>
        <v>0</v>
      </c>
      <c r="Q15" s="95">
        <f t="shared" si="4"/>
        <v>0</v>
      </c>
      <c r="R15" s="95">
        <f t="shared" si="4"/>
        <v>0</v>
      </c>
      <c r="S15" s="95">
        <f t="shared" si="4"/>
        <v>0</v>
      </c>
      <c r="T15" s="95">
        <f t="shared" si="4"/>
        <v>0</v>
      </c>
      <c r="U15" s="94">
        <f t="shared" si="4"/>
        <v>0</v>
      </c>
      <c r="V15" s="95">
        <f t="shared" si="4"/>
        <v>0</v>
      </c>
      <c r="W15" s="95">
        <f t="shared" si="4"/>
        <v>0</v>
      </c>
      <c r="X15" s="95">
        <f t="shared" si="4"/>
        <v>0</v>
      </c>
      <c r="Y15" s="95">
        <f t="shared" si="4"/>
        <v>82</v>
      </c>
      <c r="Z15" s="95">
        <f t="shared" si="4"/>
        <v>82</v>
      </c>
      <c r="AA15" s="95">
        <f t="shared" si="4"/>
        <v>82</v>
      </c>
      <c r="AB15" s="95">
        <f t="shared" si="4"/>
        <v>82</v>
      </c>
      <c r="AC15" s="95">
        <f t="shared" si="4"/>
        <v>82</v>
      </c>
      <c r="AD15" s="95">
        <f t="shared" si="4"/>
        <v>82</v>
      </c>
      <c r="AE15" s="95">
        <f t="shared" si="4"/>
        <v>81</v>
      </c>
      <c r="AF15" s="95">
        <f t="shared" si="4"/>
        <v>81</v>
      </c>
      <c r="AG15" s="95">
        <f t="shared" si="4"/>
        <v>81</v>
      </c>
      <c r="AH15" s="95">
        <f t="shared" si="4"/>
        <v>81</v>
      </c>
      <c r="AI15" s="95">
        <f t="shared" si="4"/>
        <v>81</v>
      </c>
      <c r="AJ15" s="95">
        <f t="shared" si="4"/>
        <v>81</v>
      </c>
      <c r="AK15" s="95">
        <f t="shared" si="4"/>
        <v>81</v>
      </c>
      <c r="AL15" s="96">
        <f t="shared" si="4"/>
        <v>81</v>
      </c>
    </row>
    <row r="16" spans="1:46" ht="30.75" customHeight="1">
      <c r="A16" s="98"/>
      <c r="B16" s="98"/>
      <c r="C16" s="99"/>
      <c r="D16" s="100"/>
      <c r="E16" s="101"/>
      <c r="F16" s="102"/>
      <c r="G16" s="102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</row>
    <row r="17" spans="1:38" ht="51.75" customHeight="1">
      <c r="A17" s="104"/>
      <c r="B17" s="11"/>
      <c r="C17" s="11"/>
      <c r="D17" s="105"/>
      <c r="E17" s="105"/>
      <c r="F17" s="106" t="s">
        <v>35</v>
      </c>
      <c r="G17" s="107">
        <f>G15</f>
        <v>250000</v>
      </c>
      <c r="H17" s="108" t="s">
        <v>36</v>
      </c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</row>
    <row r="18" spans="1:38" ht="51.75" customHeight="1">
      <c r="A18" s="104"/>
      <c r="B18" s="11"/>
      <c r="C18" s="11"/>
      <c r="D18" s="105"/>
      <c r="E18" s="105"/>
      <c r="F18" s="110" t="s">
        <v>37</v>
      </c>
      <c r="G18" s="111">
        <f>G17*0.03</f>
        <v>7500</v>
      </c>
      <c r="H18" s="108" t="s">
        <v>36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</row>
    <row r="19" spans="1:38" ht="51.75" customHeight="1">
      <c r="A19" s="104"/>
      <c r="B19" s="11"/>
      <c r="C19" s="11"/>
      <c r="D19" s="105"/>
      <c r="E19" s="105"/>
      <c r="F19" s="110" t="s">
        <v>38</v>
      </c>
      <c r="G19" s="111">
        <f>SUM(G17:G18)*0.05</f>
        <v>12875</v>
      </c>
      <c r="H19" s="108" t="s">
        <v>36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</row>
    <row r="20" spans="1:38" ht="51.75" customHeight="1">
      <c r="A20" s="113"/>
      <c r="B20" s="11"/>
      <c r="C20" s="11"/>
      <c r="D20" s="105"/>
      <c r="E20" s="105"/>
      <c r="F20" s="110" t="s">
        <v>39</v>
      </c>
      <c r="G20" s="114">
        <f>SUM(G17:G19)</f>
        <v>270375</v>
      </c>
      <c r="H20" s="108" t="s">
        <v>36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</row>
    <row r="21" spans="1:38" s="7" customFormat="1" ht="55.7" customHeight="1">
      <c r="A21" s="3" t="s">
        <v>40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s="7" customFormat="1" ht="55.7" customHeight="1">
      <c r="A22" s="3" t="s">
        <v>41</v>
      </c>
      <c r="B22" s="4"/>
      <c r="C22" s="4"/>
      <c r="D22" s="4"/>
      <c r="E22" s="4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s="7" customFormat="1" ht="55.7" customHeight="1">
      <c r="A23" s="3" t="s">
        <v>42</v>
      </c>
      <c r="B23" s="115"/>
      <c r="C23" s="4"/>
      <c r="D23" s="4"/>
      <c r="E23" s="4"/>
      <c r="F23" s="5"/>
      <c r="G23" s="5"/>
      <c r="H23" s="5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</row>
    <row r="24" spans="1:38" s="7" customFormat="1" ht="55.7" customHeight="1">
      <c r="A24" s="3" t="s">
        <v>43</v>
      </c>
      <c r="B24" s="117"/>
      <c r="C24" s="4"/>
      <c r="D24" s="4"/>
      <c r="E24" s="4"/>
      <c r="F24" s="5"/>
      <c r="G24" s="5"/>
      <c r="H24" s="5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</row>
    <row r="25" spans="1:38" s="7" customFormat="1" ht="30.7">
      <c r="A25" s="4"/>
      <c r="B25" s="4"/>
      <c r="C25" s="4"/>
      <c r="D25" s="4"/>
      <c r="E25" s="4"/>
      <c r="F25" s="5"/>
      <c r="G25" s="5"/>
      <c r="H25" s="5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</row>
  </sheetData>
  <mergeCells count="20">
    <mergeCell ref="Y13:AL13"/>
    <mergeCell ref="Y14:AL14"/>
    <mergeCell ref="B15:C15"/>
    <mergeCell ref="I17:AL17"/>
    <mergeCell ref="H8:H10"/>
    <mergeCell ref="B11:B12"/>
    <mergeCell ref="E11:E12"/>
    <mergeCell ref="G11:G12"/>
    <mergeCell ref="H11:H14"/>
    <mergeCell ref="B13:B14"/>
    <mergeCell ref="E13:E14"/>
    <mergeCell ref="G13:G14"/>
    <mergeCell ref="D7:G7"/>
    <mergeCell ref="A8:A10"/>
    <mergeCell ref="B8:B10"/>
    <mergeCell ref="C8:C10"/>
    <mergeCell ref="D8:D10"/>
    <mergeCell ref="E8:E10"/>
    <mergeCell ref="F8:F10"/>
    <mergeCell ref="G8:G10"/>
  </mergeCells>
  <phoneticPr fontId="4" type="noConversion"/>
  <conditionalFormatting sqref="U10:AL10">
    <cfRule type="containsText" dxfId="3" priority="1" operator="containsText" text="日">
      <formula>NOT(ISERROR(SEARCH("日",U10)))</formula>
    </cfRule>
    <cfRule type="containsText" dxfId="2" priority="2" operator="containsText" text="六">
      <formula>NOT(ISERROR(SEARCH("六",U10)))</formula>
    </cfRule>
  </conditionalFormatting>
  <printOptions horizontalCentered="1"/>
  <pageMargins left="0.31496062992125984" right="0.31496062992125984" top="0.74803149606299213" bottom="0.74803149606299213" header="0.31496062992125984" footer="0.31496062992125984"/>
  <pageSetup paperSize="9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萬家福&amp;樂家康 10秒</vt:lpstr>
      <vt:lpstr>萬家福&amp;樂家康 15秒</vt:lpstr>
      <vt:lpstr>萬家福&amp;樂家康 20秒</vt:lpstr>
      <vt:lpstr>'萬家福&amp;樂家康 10秒'!Print_Area</vt:lpstr>
      <vt:lpstr>'萬家福&amp;樂家康 15秒'!Print_Area</vt:lpstr>
      <vt:lpstr>'萬家福&amp;樂家康 20秒'!Print_Area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dcterms:created xsi:type="dcterms:W3CDTF">2026-09-02T08:37:42Z</dcterms:created>
  <dcterms:modified xsi:type="dcterms:W3CDTF">2026-09-02T08:45:33Z</dcterms:modified>
</cp:coreProperties>
</file>