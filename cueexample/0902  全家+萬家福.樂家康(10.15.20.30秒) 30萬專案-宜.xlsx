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40BD78DC-C404-43AF-95D0-A45FB0E0DE25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30萬版-30秒版" sheetId="6" r:id="rId1"/>
    <sheet name="30萬版-20秒版" sheetId="1" r:id="rId2"/>
    <sheet name="30萬版-15秒版" sheetId="5" r:id="rId3"/>
    <sheet name="30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'30萬版-10秒版 '!$A$8:$V$29</definedName>
    <definedName name="_xlnm._FilterDatabase" localSheetId="2" hidden="1">'30萬版-15秒版'!$A$8:$V$29</definedName>
    <definedName name="_xlnm._FilterDatabase" localSheetId="1" hidden="1">'30萬版-20秒版'!$A$8:$V$29</definedName>
    <definedName name="_xlnm._FilterDatabase" localSheetId="0" hidden="1">'30萬版-30秒版'!$A$8:$V$29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'30萬版-10秒版 '!$A$1:$V$31</definedName>
    <definedName name="_xlnm.Print_Area" localSheetId="2">'30萬版-15秒版'!$A$1:$V$31</definedName>
    <definedName name="_xlnm.Print_Area" localSheetId="1">'30萬版-20秒版'!$A$1:$V$31</definedName>
    <definedName name="_xlnm.Print_Area" localSheetId="0">'30萬版-30秒版'!$A$1:$V$31</definedName>
    <definedName name="_xlnm.Print_Titles" localSheetId="3">'30萬版-10秒版 '!$6:$8</definedName>
    <definedName name="_xlnm.Print_Titles" localSheetId="2">'30萬版-15秒版'!$6:$8</definedName>
    <definedName name="_xlnm.Print_Titles" localSheetId="1">'30萬版-20秒版'!$6:$8</definedName>
    <definedName name="_xlnm.Print_Titles" localSheetId="0">'30萬版-30秒版'!$6:$8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L29" i="6"/>
  <c r="G17" i="6"/>
  <c r="H16" i="6"/>
  <c r="H14" i="6"/>
  <c r="H13" i="6"/>
  <c r="H12" i="6"/>
  <c r="I11" i="6"/>
  <c r="J11" i="6" s="1"/>
  <c r="E11" i="6"/>
  <c r="I10" i="6"/>
  <c r="K10" i="6" s="1"/>
  <c r="L10" i="6" s="1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H16" i="5"/>
  <c r="H14" i="5"/>
  <c r="H13" i="5"/>
  <c r="H12" i="5"/>
  <c r="H15" i="5" s="1"/>
  <c r="I11" i="5"/>
  <c r="J11" i="5" s="1"/>
  <c r="E11" i="5"/>
  <c r="I10" i="5"/>
  <c r="J10" i="5" s="1"/>
  <c r="I9" i="5"/>
  <c r="E9" i="5"/>
  <c r="I7" i="5"/>
  <c r="J7" i="5" s="1"/>
  <c r="K7" i="5" s="1"/>
  <c r="L7" i="5" s="1"/>
  <c r="M7" i="5" s="1"/>
  <c r="N7" i="5" s="1"/>
  <c r="O7" i="5" s="1"/>
  <c r="P7" i="5" s="1"/>
  <c r="E11" i="4"/>
  <c r="E9" i="4"/>
  <c r="L29" i="4"/>
  <c r="G17" i="4"/>
  <c r="G19" i="4" s="1"/>
  <c r="G20" i="4" s="1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I10" i="1"/>
  <c r="J10" i="1" s="1"/>
  <c r="H14" i="1"/>
  <c r="I16" i="5" l="1"/>
  <c r="K10" i="1"/>
  <c r="L10" i="1" s="1"/>
  <c r="M10" i="1" s="1"/>
  <c r="N10" i="1" s="1"/>
  <c r="O10" i="1" s="1"/>
  <c r="Q10" i="1" s="1"/>
  <c r="M10" i="6"/>
  <c r="N10" i="6" s="1"/>
  <c r="O10" i="6" s="1"/>
  <c r="P10" i="6" s="1"/>
  <c r="Q10" i="6" s="1"/>
  <c r="R10" i="6" s="1"/>
  <c r="S10" i="6" s="1"/>
  <c r="I12" i="6"/>
  <c r="I15" i="6" s="1"/>
  <c r="I13" i="6"/>
  <c r="G20" i="6"/>
  <c r="K9" i="6"/>
  <c r="J16" i="6"/>
  <c r="J13" i="6"/>
  <c r="J12" i="6"/>
  <c r="J15" i="6" s="1"/>
  <c r="J14" i="6"/>
  <c r="K11" i="6"/>
  <c r="I14" i="6"/>
  <c r="H15" i="6"/>
  <c r="I16" i="6"/>
  <c r="H17" i="6"/>
  <c r="G19" i="6"/>
  <c r="I13" i="5"/>
  <c r="I14" i="5"/>
  <c r="K10" i="5"/>
  <c r="L10" i="5" s="1"/>
  <c r="M10" i="5" s="1"/>
  <c r="J12" i="5"/>
  <c r="J15" i="5" s="1"/>
  <c r="J14" i="5"/>
  <c r="K11" i="5"/>
  <c r="J16" i="5"/>
  <c r="J13" i="5"/>
  <c r="G19" i="5"/>
  <c r="G20" i="5" s="1"/>
  <c r="J9" i="5"/>
  <c r="H17" i="5"/>
  <c r="I12" i="5"/>
  <c r="T10" i="1"/>
  <c r="U10" i="1" s="1"/>
  <c r="H17" i="4"/>
  <c r="J9" i="4"/>
  <c r="J11" i="4"/>
  <c r="I12" i="4"/>
  <c r="J10" i="4"/>
  <c r="K10" i="4" s="1"/>
  <c r="L10" i="4" s="1"/>
  <c r="M10" i="4" s="1"/>
  <c r="N10" i="4" s="1"/>
  <c r="O10" i="4" s="1"/>
  <c r="P10" i="4" s="1"/>
  <c r="S10" i="4" s="1"/>
  <c r="I13" i="4"/>
  <c r="I14" i="4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N10" i="5" l="1"/>
  <c r="O10" i="5" s="1"/>
  <c r="P10" i="5" s="1"/>
  <c r="S10" i="5" s="1"/>
  <c r="U10" i="5" s="1"/>
  <c r="Q10" i="4"/>
  <c r="R10" i="4" s="1"/>
  <c r="T10" i="6"/>
  <c r="U10" i="6" s="1"/>
  <c r="L9" i="6"/>
  <c r="K16" i="6"/>
  <c r="K14" i="6"/>
  <c r="K13" i="6"/>
  <c r="K12" i="6"/>
  <c r="L11" i="6"/>
  <c r="I17" i="6"/>
  <c r="J17" i="6"/>
  <c r="J17" i="5"/>
  <c r="K9" i="5"/>
  <c r="K14" i="5"/>
  <c r="L11" i="5"/>
  <c r="K16" i="5"/>
  <c r="K13" i="5"/>
  <c r="K12" i="5"/>
  <c r="K15" i="5" s="1"/>
  <c r="I15" i="5"/>
  <c r="J16" i="4"/>
  <c r="J14" i="4"/>
  <c r="J13" i="4"/>
  <c r="J12" i="4"/>
  <c r="J15" i="4" s="1"/>
  <c r="K11" i="4"/>
  <c r="I15" i="4"/>
  <c r="K9" i="4"/>
  <c r="I13" i="1"/>
  <c r="I14" i="1"/>
  <c r="I9" i="1"/>
  <c r="J9" i="1" s="1"/>
  <c r="H17" i="1"/>
  <c r="J11" i="1"/>
  <c r="I12" i="1"/>
  <c r="I15" i="1" s="1"/>
  <c r="I16" i="1"/>
  <c r="G20" i="1"/>
  <c r="Q10" i="5" l="1"/>
  <c r="R10" i="5" s="1"/>
  <c r="V10" i="5" s="1"/>
  <c r="V10" i="6"/>
  <c r="Y10" i="6" s="1"/>
  <c r="K15" i="6"/>
  <c r="L12" i="6"/>
  <c r="L15" i="6" s="1"/>
  <c r="L16" i="6"/>
  <c r="L14" i="6"/>
  <c r="L13" i="6"/>
  <c r="M11" i="6"/>
  <c r="Z10" i="6"/>
  <c r="M9" i="6"/>
  <c r="M11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M11" i="4" s="1"/>
  <c r="N11" i="4" s="1"/>
  <c r="O11" i="4" s="1"/>
  <c r="J13" i="1"/>
  <c r="J14" i="1"/>
  <c r="J12" i="1"/>
  <c r="J15" i="1" s="1"/>
  <c r="J16" i="1"/>
  <c r="K11" i="1"/>
  <c r="N9" i="6" l="1"/>
  <c r="L17" i="6"/>
  <c r="K17" i="6"/>
  <c r="M16" i="6"/>
  <c r="M14" i="6"/>
  <c r="M13" i="6"/>
  <c r="M12" i="6"/>
  <c r="M15" i="6" s="1"/>
  <c r="N11" i="6"/>
  <c r="M13" i="5"/>
  <c r="M12" i="5"/>
  <c r="M15" i="5" s="1"/>
  <c r="M16" i="5"/>
  <c r="M14" i="5"/>
  <c r="N11" i="5"/>
  <c r="Z10" i="5"/>
  <c r="Y10" i="5"/>
  <c r="M9" i="5"/>
  <c r="L15" i="5"/>
  <c r="L14" i="4"/>
  <c r="L16" i="4"/>
  <c r="L13" i="4"/>
  <c r="L12" i="4"/>
  <c r="L15" i="4" s="1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O11" i="5"/>
  <c r="N16" i="5"/>
  <c r="N13" i="5"/>
  <c r="N14" i="5"/>
  <c r="L17" i="4"/>
  <c r="Y10" i="4"/>
  <c r="Z10" i="4"/>
  <c r="M12" i="4"/>
  <c r="M14" i="4"/>
  <c r="M13" i="4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P11" i="6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M16" i="1"/>
  <c r="M13" i="1"/>
  <c r="M12" i="1"/>
  <c r="M15" i="1" s="1"/>
  <c r="N11" i="1"/>
  <c r="K17" i="1"/>
  <c r="M9" i="1"/>
  <c r="O14" i="1" l="1"/>
  <c r="P11" i="1"/>
  <c r="Q11" i="1" s="1"/>
  <c r="O17" i="6"/>
  <c r="Q9" i="6"/>
  <c r="S9" i="6"/>
  <c r="P14" i="6"/>
  <c r="P13" i="6"/>
  <c r="P12" i="6"/>
  <c r="P15" i="6" s="1"/>
  <c r="Q11" i="6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Z9" i="4"/>
  <c r="Z20" i="4" s="1"/>
  <c r="N13" i="1"/>
  <c r="N16" i="1"/>
  <c r="N9" i="1"/>
  <c r="O9" i="1" s="1"/>
  <c r="P9" i="1" s="1"/>
  <c r="N14" i="1"/>
  <c r="N12" i="1"/>
  <c r="N15" i="1" s="1"/>
  <c r="L17" i="1"/>
  <c r="O16" i="1"/>
  <c r="O13" i="1"/>
  <c r="O12" i="1"/>
  <c r="O15" i="1" s="1"/>
  <c r="R11" i="1" l="1"/>
  <c r="Q13" i="1"/>
  <c r="Q15" i="1"/>
  <c r="Q14" i="1"/>
  <c r="Q16" i="1"/>
  <c r="Q12" i="1"/>
  <c r="P14" i="1"/>
  <c r="Q15" i="6"/>
  <c r="Q14" i="6"/>
  <c r="Q13" i="6"/>
  <c r="Q12" i="6"/>
  <c r="R11" i="6"/>
  <c r="Q16" i="6"/>
  <c r="P17" i="6"/>
  <c r="T9" i="6"/>
  <c r="R9" i="6"/>
  <c r="Q15" i="5"/>
  <c r="Q14" i="5"/>
  <c r="Q16" i="5"/>
  <c r="Q13" i="5"/>
  <c r="Q12" i="5"/>
  <c r="R11" i="5"/>
  <c r="S11" i="5" s="1"/>
  <c r="T11" i="5" s="1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N17" i="1"/>
  <c r="M17" i="1"/>
  <c r="O17" i="1"/>
  <c r="Q9" i="1"/>
  <c r="P16" i="1"/>
  <c r="P13" i="1"/>
  <c r="P12" i="1"/>
  <c r="P15" i="1" s="1"/>
  <c r="P17" i="4" l="1"/>
  <c r="R13" i="1"/>
  <c r="R15" i="1"/>
  <c r="R16" i="1"/>
  <c r="R12" i="1"/>
  <c r="S11" i="1"/>
  <c r="S14" i="1" s="1"/>
  <c r="R14" i="1"/>
  <c r="Q17" i="6"/>
  <c r="U9" i="6"/>
  <c r="R14" i="6"/>
  <c r="R13" i="6"/>
  <c r="R12" i="6"/>
  <c r="S11" i="6"/>
  <c r="R16" i="6"/>
  <c r="R15" i="6"/>
  <c r="Q17" i="5"/>
  <c r="R9" i="5"/>
  <c r="T9" i="5"/>
  <c r="R16" i="5"/>
  <c r="R14" i="5"/>
  <c r="R15" i="5"/>
  <c r="R13" i="5"/>
  <c r="R12" i="5"/>
  <c r="Q12" i="4"/>
  <c r="R11" i="4"/>
  <c r="Q13" i="4"/>
  <c r="Q15" i="4"/>
  <c r="Q16" i="4"/>
  <c r="Q14" i="4"/>
  <c r="R9" i="1"/>
  <c r="Q17" i="1"/>
  <c r="S9" i="1"/>
  <c r="S13" i="1" l="1"/>
  <c r="Q17" i="4"/>
  <c r="R17" i="1"/>
  <c r="S16" i="1"/>
  <c r="T11" i="1"/>
  <c r="T14" i="1" s="1"/>
  <c r="S12" i="1"/>
  <c r="S15" i="1" s="1"/>
  <c r="R17" i="6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R14" i="4"/>
  <c r="R12" i="4"/>
  <c r="S11" i="4"/>
  <c r="R16" i="4"/>
  <c r="R13" i="4"/>
  <c r="R15" i="4"/>
  <c r="T9" i="1"/>
  <c r="P17" i="1"/>
  <c r="T16" i="1" l="1"/>
  <c r="U11" i="1"/>
  <c r="U12" i="1" s="1"/>
  <c r="U15" i="1" s="1"/>
  <c r="T13" i="1"/>
  <c r="T12" i="1"/>
  <c r="T15" i="1" s="1"/>
  <c r="R17" i="4"/>
  <c r="S17" i="6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3" i="5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S17" i="1"/>
  <c r="U9" i="1"/>
  <c r="V9" i="1" s="1"/>
  <c r="F9" i="1" s="1"/>
  <c r="U16" i="1"/>
  <c r="U14" i="1" l="1"/>
  <c r="V14" i="1" s="1"/>
  <c r="F14" i="1" s="1"/>
  <c r="V11" i="1"/>
  <c r="W11" i="1" s="1"/>
  <c r="U13" i="1"/>
  <c r="V15" i="1"/>
  <c r="F15" i="1" s="1"/>
  <c r="T17" i="5"/>
  <c r="T17" i="6"/>
  <c r="U13" i="6"/>
  <c r="V13" i="6" s="1"/>
  <c r="U12" i="6"/>
  <c r="U16" i="6"/>
  <c r="V16" i="6" s="1"/>
  <c r="U14" i="6"/>
  <c r="V14" i="6" s="1"/>
  <c r="V11" i="6"/>
  <c r="U16" i="5"/>
  <c r="V16" i="5" s="1"/>
  <c r="U13" i="5"/>
  <c r="V13" i="5" s="1"/>
  <c r="U12" i="5"/>
  <c r="U14" i="5"/>
  <c r="V14" i="5" s="1"/>
  <c r="V11" i="5"/>
  <c r="S17" i="4"/>
  <c r="T13" i="4"/>
  <c r="T12" i="4"/>
  <c r="T15" i="4" s="1"/>
  <c r="U11" i="4"/>
  <c r="T16" i="4"/>
  <c r="T14" i="4"/>
  <c r="W9" i="1"/>
  <c r="T17" i="1"/>
  <c r="F11" i="1" l="1"/>
  <c r="Z14" i="1"/>
  <c r="U17" i="1"/>
  <c r="Y14" i="1"/>
  <c r="Y15" i="1"/>
  <c r="Z15" i="1"/>
  <c r="W17" i="1"/>
  <c r="Z14" i="6"/>
  <c r="Y14" i="6"/>
  <c r="F14" i="6"/>
  <c r="Z13" i="6"/>
  <c r="Y13" i="6"/>
  <c r="F13" i="6"/>
  <c r="Z16" i="6"/>
  <c r="Y16" i="6"/>
  <c r="F16" i="6"/>
  <c r="Z11" i="6"/>
  <c r="Y11" i="6"/>
  <c r="F11" i="6"/>
  <c r="W11" i="6"/>
  <c r="W17" i="6" s="1"/>
  <c r="U15" i="6"/>
  <c r="V15" i="6" s="1"/>
  <c r="V12" i="6"/>
  <c r="Z11" i="5"/>
  <c r="Y11" i="5"/>
  <c r="F11" i="5"/>
  <c r="W11" i="5"/>
  <c r="W17" i="5" s="1"/>
  <c r="Z13" i="5"/>
  <c r="Y13" i="5"/>
  <c r="F13" i="5"/>
  <c r="F14" i="5"/>
  <c r="Z14" i="5"/>
  <c r="Y14" i="5"/>
  <c r="U15" i="5"/>
  <c r="V12" i="5"/>
  <c r="Z16" i="5"/>
  <c r="F16" i="5"/>
  <c r="Y16" i="5"/>
  <c r="T17" i="4"/>
  <c r="U12" i="4"/>
  <c r="U16" i="4"/>
  <c r="V16" i="4" s="1"/>
  <c r="U14" i="4"/>
  <c r="V14" i="4" s="1"/>
  <c r="U13" i="4"/>
  <c r="V13" i="4" s="1"/>
  <c r="V11" i="4"/>
  <c r="W11" i="4" s="1"/>
  <c r="V16" i="1"/>
  <c r="F16" i="1" s="1"/>
  <c r="V12" i="1"/>
  <c r="F12" i="1" s="1"/>
  <c r="V13" i="1"/>
  <c r="F13" i="1" s="1"/>
  <c r="V17" i="6" l="1"/>
  <c r="Z15" i="6"/>
  <c r="Y15" i="6"/>
  <c r="F15" i="6"/>
  <c r="U17" i="6"/>
  <c r="Y12" i="6"/>
  <c r="F12" i="6"/>
  <c r="Z12" i="6"/>
  <c r="V15" i="5"/>
  <c r="V17" i="5" s="1"/>
  <c r="U17" i="5"/>
  <c r="Y12" i="5"/>
  <c r="F12" i="5"/>
  <c r="Z12" i="5"/>
  <c r="Y11" i="4"/>
  <c r="Z11" i="4"/>
  <c r="F11" i="4"/>
  <c r="W17" i="4"/>
  <c r="Z13" i="4"/>
  <c r="Y13" i="4"/>
  <c r="F13" i="4"/>
  <c r="Z14" i="4"/>
  <c r="Y14" i="4"/>
  <c r="F14" i="4"/>
  <c r="Y16" i="4"/>
  <c r="Z16" i="4"/>
  <c r="F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F17" i="6" l="1"/>
  <c r="Y15" i="5"/>
  <c r="Z15" i="5"/>
  <c r="F15" i="5"/>
  <c r="F17" i="5" s="1"/>
  <c r="V15" i="4"/>
  <c r="U17" i="4"/>
  <c r="F12" i="4"/>
  <c r="Y12" i="4"/>
  <c r="Z12" i="4"/>
  <c r="Y10" i="1"/>
  <c r="Z10" i="1"/>
  <c r="Y15" i="4" l="1"/>
  <c r="F15" i="4"/>
  <c r="F17" i="4" s="1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<sst xmlns="http://schemas.openxmlformats.org/spreadsheetml/2006/main" count="306" uniqueCount="68">
  <si>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</si>
  <si>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</si>
  <si>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</si>
  <si>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</si>
  <si>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</si>
  <si>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</si>
  <si>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</si>
  <si>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</si>
  <si>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</si>
  <si>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</si>
  <si>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</si>
  <si>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</si>
  <si>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</si>
  <si>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</si>
  <si>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</si>
  <si>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</si>
  <si>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</si>
  <si>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</si>
  <si>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</si>
  <si>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</si>
  <si>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</si>
  <si>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</si>
  <si>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</si>
  <si>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</si>
  <si>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</si>
  <si>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 xml:space="preserve">全家便利商店
通路廣播廣告 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</si>
  <si>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</si>
  <si>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</si>
  <si>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</si>
  <si>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</si>
  <si>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</si>
  <si>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</si>
  <si>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</si>
  <si>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</si>
  <si>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</si>
  <si>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</si>
  <si>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</si>
  <si>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</si>
  <si>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</si>
  <si>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</si>
  <si>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</si>
  <si>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</si>
  <si>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</si>
  <si>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</si>
  <si>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</si>
  <si>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</si>
  <si>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全家 萬家福/樂家康 專案</t>
    <phoneticPr fontId="5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</si>
  <si>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</si>
  <si>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</si>
  <si>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</si>
  <si>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</si>
  <si>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</si>
  <si>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</si>
  <si>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</si>
  <si>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</si>
  <si>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</si>
  <si>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</si>
  <si>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</si>
  <si>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</si>
  <si>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</si>
  <si>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</si>
  <si>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</si>
  <si>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</si>
  <si>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</si>
  <si>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</si>
  <si>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</si>
  <si>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>07-23</t>
    <phoneticPr fontId="5" type="noConversion"/>
  </si>
  <si>
    <t>北區-北北基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</si>
</sst>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8" xfId="1" quotePrefix="1" applyNumberFormat="1" applyFont="1" applyBorder="1" applyAlignment="1">
      <alignment horizontal="center" vertical="center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49" fontId="20" fillId="0" borderId="28" xfId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Q15" sqref="Q15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8" width="0" style="31" hidden="1" customWidth="1"/>
    <col min="29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65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1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30秒</v>
      </c>
      <c r="F9" s="56">
        <f>300000/420*V9*W6</f>
        <v>165000</v>
      </c>
      <c r="G9" s="161">
        <v>300000</v>
      </c>
      <c r="H9" s="57">
        <v>10</v>
      </c>
      <c r="I9" s="58">
        <f t="shared" ref="I9:U11" si="1">H9</f>
        <v>10</v>
      </c>
      <c r="J9" s="58">
        <f>I9</f>
        <v>10</v>
      </c>
      <c r="K9" s="58">
        <f t="shared" si="1"/>
        <v>10</v>
      </c>
      <c r="L9" s="58">
        <f>K9</f>
        <v>10</v>
      </c>
      <c r="M9" s="58">
        <f t="shared" si="1"/>
        <v>10</v>
      </c>
      <c r="N9" s="58">
        <f>M9</f>
        <v>10</v>
      </c>
      <c r="O9" s="58">
        <f>N9</f>
        <v>10</v>
      </c>
      <c r="P9" s="58">
        <f>O9</f>
        <v>10</v>
      </c>
      <c r="Q9" s="58">
        <f>P9</f>
        <v>10</v>
      </c>
      <c r="R9" s="58">
        <f>Q9</f>
        <v>10</v>
      </c>
      <c r="S9" s="58">
        <f>P9</f>
        <v>10</v>
      </c>
      <c r="T9" s="58">
        <f t="shared" si="1"/>
        <v>10</v>
      </c>
      <c r="U9" s="58">
        <f t="shared" si="1"/>
        <v>10</v>
      </c>
      <c r="V9" s="59">
        <f t="shared" ref="V9:V16" si="2">SUM(H9:U9)</f>
        <v>140</v>
      </c>
      <c r="W9" s="137">
        <f>250000/420*W6*V9</f>
        <v>137499.99999999997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18</v>
      </c>
      <c r="I10" s="64">
        <f>H10</f>
        <v>18</v>
      </c>
      <c r="J10" s="64">
        <v>17</v>
      </c>
      <c r="K10" s="64">
        <f t="shared" si="1"/>
        <v>17</v>
      </c>
      <c r="L10" s="64">
        <f>K10</f>
        <v>17</v>
      </c>
      <c r="M10" s="64">
        <f t="shared" si="1"/>
        <v>17</v>
      </c>
      <c r="N10" s="64">
        <f>M10</f>
        <v>17</v>
      </c>
      <c r="O10" s="64">
        <f t="shared" si="1"/>
        <v>17</v>
      </c>
      <c r="P10" s="64">
        <f t="shared" ref="P10:S11" si="3">O10</f>
        <v>17</v>
      </c>
      <c r="Q10" s="64">
        <f t="shared" si="3"/>
        <v>17</v>
      </c>
      <c r="R10" s="64">
        <f t="shared" si="3"/>
        <v>17</v>
      </c>
      <c r="S10" s="64">
        <f t="shared" si="3"/>
        <v>17</v>
      </c>
      <c r="T10" s="64">
        <f t="shared" si="1"/>
        <v>17</v>
      </c>
      <c r="U10" s="64">
        <f>T10</f>
        <v>17</v>
      </c>
      <c r="V10" s="65">
        <f t="shared" si="2"/>
        <v>240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68" t="s">
        <v>66</v>
      </c>
      <c r="E11" s="172" t="str">
        <f>B4</f>
        <v>30秒</v>
      </c>
      <c r="F11" s="68">
        <f>250000/480*V11*W7</f>
        <v>127604.16666666667</v>
      </c>
      <c r="G11" s="162"/>
      <c r="H11" s="69">
        <v>18</v>
      </c>
      <c r="I11" s="70">
        <f>H11</f>
        <v>18</v>
      </c>
      <c r="J11" s="70">
        <f t="shared" si="1"/>
        <v>18</v>
      </c>
      <c r="K11" s="70">
        <f t="shared" si="1"/>
        <v>18</v>
      </c>
      <c r="L11" s="70">
        <f t="shared" si="1"/>
        <v>18</v>
      </c>
      <c r="M11" s="70">
        <f t="shared" si="1"/>
        <v>18</v>
      </c>
      <c r="N11" s="70">
        <f t="shared" si="1"/>
        <v>18</v>
      </c>
      <c r="O11" s="70">
        <v>17</v>
      </c>
      <c r="P11" s="70">
        <f t="shared" si="3"/>
        <v>17</v>
      </c>
      <c r="Q11" s="70">
        <f t="shared" si="3"/>
        <v>17</v>
      </c>
      <c r="R11" s="70">
        <f t="shared" si="3"/>
        <v>17</v>
      </c>
      <c r="S11" s="70">
        <f t="shared" si="3"/>
        <v>17</v>
      </c>
      <c r="T11" s="70">
        <f t="shared" si="1"/>
        <v>17</v>
      </c>
      <c r="U11" s="70">
        <f t="shared" si="1"/>
        <v>17</v>
      </c>
      <c r="V11" s="71">
        <f t="shared" si="2"/>
        <v>245</v>
      </c>
      <c r="W11" s="137">
        <f>320000/480*W7*V11</f>
        <v>163333.33333333331</v>
      </c>
      <c r="X11" s="33" t="s">
        <v>26</v>
      </c>
      <c r="Y11" s="34">
        <f t="shared" ref="Y11:Y16" si="4">V11*C11</f>
        <v>409885</v>
      </c>
      <c r="Z11" s="35">
        <f t="shared" ref="Z11:Z16" si="5">1000*(C11/24/6)*V11</f>
        <v>2846423.611111111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76562.5</v>
      </c>
      <c r="G12" s="162"/>
      <c r="H12" s="63">
        <f>H11</f>
        <v>18</v>
      </c>
      <c r="I12" s="64">
        <f>I11</f>
        <v>18</v>
      </c>
      <c r="J12" s="64">
        <f t="shared" ref="J12:U12" si="6">J11</f>
        <v>18</v>
      </c>
      <c r="K12" s="64">
        <f t="shared" si="6"/>
        <v>18</v>
      </c>
      <c r="L12" s="64">
        <f t="shared" si="6"/>
        <v>18</v>
      </c>
      <c r="M12" s="64">
        <f t="shared" si="6"/>
        <v>18</v>
      </c>
      <c r="N12" s="64">
        <f t="shared" si="6"/>
        <v>18</v>
      </c>
      <c r="O12" s="64">
        <f t="shared" si="6"/>
        <v>17</v>
      </c>
      <c r="P12" s="64">
        <f t="shared" si="6"/>
        <v>17</v>
      </c>
      <c r="Q12" s="64">
        <f>Q11</f>
        <v>17</v>
      </c>
      <c r="R12" s="64">
        <f>R11</f>
        <v>17</v>
      </c>
      <c r="S12" s="64">
        <f t="shared" si="6"/>
        <v>17</v>
      </c>
      <c r="T12" s="64">
        <f t="shared" si="6"/>
        <v>17</v>
      </c>
      <c r="U12" s="64">
        <f t="shared" si="6"/>
        <v>17</v>
      </c>
      <c r="V12" s="65">
        <f t="shared" si="2"/>
        <v>245</v>
      </c>
      <c r="W12" s="137"/>
      <c r="X12" s="33" t="s">
        <v>26</v>
      </c>
      <c r="Y12" s="34">
        <f t="shared" si="4"/>
        <v>193060</v>
      </c>
      <c r="Z12" s="35">
        <f t="shared" si="5"/>
        <v>1340694.4444444445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76562.5</v>
      </c>
      <c r="G13" s="162"/>
      <c r="H13" s="63">
        <f>H11</f>
        <v>18</v>
      </c>
      <c r="I13" s="64">
        <f>I11</f>
        <v>18</v>
      </c>
      <c r="J13" s="64">
        <f t="shared" ref="J13:U13" si="7">J11</f>
        <v>18</v>
      </c>
      <c r="K13" s="64">
        <f t="shared" si="7"/>
        <v>18</v>
      </c>
      <c r="L13" s="64">
        <f t="shared" si="7"/>
        <v>18</v>
      </c>
      <c r="M13" s="64">
        <f t="shared" si="7"/>
        <v>18</v>
      </c>
      <c r="N13" s="64">
        <f t="shared" si="7"/>
        <v>18</v>
      </c>
      <c r="O13" s="64">
        <f t="shared" si="7"/>
        <v>17</v>
      </c>
      <c r="P13" s="64">
        <f t="shared" si="7"/>
        <v>17</v>
      </c>
      <c r="Q13" s="64">
        <f>Q11</f>
        <v>17</v>
      </c>
      <c r="R13" s="64">
        <f>R11</f>
        <v>17</v>
      </c>
      <c r="S13" s="64">
        <f t="shared" si="7"/>
        <v>17</v>
      </c>
      <c r="T13" s="64">
        <f t="shared" si="7"/>
        <v>17</v>
      </c>
      <c r="U13" s="64">
        <f t="shared" si="7"/>
        <v>17</v>
      </c>
      <c r="V13" s="65">
        <f t="shared" si="2"/>
        <v>245</v>
      </c>
      <c r="W13" s="137"/>
      <c r="X13" s="33" t="s">
        <v>26</v>
      </c>
      <c r="Y13" s="34">
        <f t="shared" si="4"/>
        <v>208250</v>
      </c>
      <c r="Z13" s="35">
        <f t="shared" si="5"/>
        <v>1446180.5555555555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51041.666666666672</v>
      </c>
      <c r="G14" s="162"/>
      <c r="H14" s="63">
        <f t="shared" ref="H14:U15" si="8">H11</f>
        <v>18</v>
      </c>
      <c r="I14" s="64">
        <f t="shared" si="8"/>
        <v>18</v>
      </c>
      <c r="J14" s="64">
        <f t="shared" si="8"/>
        <v>18</v>
      </c>
      <c r="K14" s="64">
        <f t="shared" si="8"/>
        <v>18</v>
      </c>
      <c r="L14" s="64">
        <f t="shared" si="8"/>
        <v>18</v>
      </c>
      <c r="M14" s="64">
        <f t="shared" si="8"/>
        <v>18</v>
      </c>
      <c r="N14" s="64">
        <f t="shared" si="8"/>
        <v>18</v>
      </c>
      <c r="O14" s="64">
        <f t="shared" si="8"/>
        <v>17</v>
      </c>
      <c r="P14" s="64">
        <f t="shared" si="8"/>
        <v>17</v>
      </c>
      <c r="Q14" s="64">
        <f>Q11</f>
        <v>17</v>
      </c>
      <c r="R14" s="64">
        <f>R11</f>
        <v>17</v>
      </c>
      <c r="S14" s="64">
        <f t="shared" si="8"/>
        <v>17</v>
      </c>
      <c r="T14" s="64">
        <f t="shared" si="8"/>
        <v>17</v>
      </c>
      <c r="U14" s="64">
        <f t="shared" si="8"/>
        <v>17</v>
      </c>
      <c r="V14" s="65">
        <f t="shared" si="2"/>
        <v>245</v>
      </c>
      <c r="W14" s="137"/>
      <c r="X14" s="33" t="s">
        <v>26</v>
      </c>
      <c r="Y14" s="34">
        <f t="shared" si="4"/>
        <v>122745</v>
      </c>
      <c r="Z14" s="35">
        <f t="shared" si="5"/>
        <v>852395.83333333326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51041.666666666672</v>
      </c>
      <c r="G15" s="162"/>
      <c r="H15" s="63">
        <f t="shared" si="8"/>
        <v>18</v>
      </c>
      <c r="I15" s="64">
        <f t="shared" si="8"/>
        <v>18</v>
      </c>
      <c r="J15" s="64">
        <f t="shared" si="8"/>
        <v>18</v>
      </c>
      <c r="K15" s="64">
        <f t="shared" si="8"/>
        <v>18</v>
      </c>
      <c r="L15" s="64">
        <f t="shared" si="8"/>
        <v>18</v>
      </c>
      <c r="M15" s="64">
        <f t="shared" si="8"/>
        <v>18</v>
      </c>
      <c r="N15" s="64">
        <f t="shared" si="8"/>
        <v>18</v>
      </c>
      <c r="O15" s="64">
        <f t="shared" si="8"/>
        <v>17</v>
      </c>
      <c r="P15" s="64">
        <f t="shared" si="8"/>
        <v>17</v>
      </c>
      <c r="Q15" s="64">
        <f>Q11</f>
        <v>17</v>
      </c>
      <c r="R15" s="64">
        <f>R11</f>
        <v>17</v>
      </c>
      <c r="S15" s="64">
        <f t="shared" si="8"/>
        <v>17</v>
      </c>
      <c r="T15" s="64">
        <f t="shared" si="8"/>
        <v>17</v>
      </c>
      <c r="U15" s="64">
        <f t="shared" si="8"/>
        <v>17</v>
      </c>
      <c r="V15" s="65">
        <f t="shared" si="2"/>
        <v>245</v>
      </c>
      <c r="W15" s="137"/>
      <c r="X15" s="33" t="s">
        <v>26</v>
      </c>
      <c r="Y15" s="34">
        <f t="shared" si="4"/>
        <v>123235</v>
      </c>
      <c r="Z15" s="35">
        <f t="shared" si="5"/>
        <v>855798.61111111101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31901.041666666668</v>
      </c>
      <c r="G16" s="163"/>
      <c r="H16" s="76">
        <f>H11</f>
        <v>18</v>
      </c>
      <c r="I16" s="77">
        <f>I11</f>
        <v>18</v>
      </c>
      <c r="J16" s="77">
        <f t="shared" ref="J16:U16" si="9">J11</f>
        <v>18</v>
      </c>
      <c r="K16" s="77">
        <f t="shared" si="9"/>
        <v>18</v>
      </c>
      <c r="L16" s="77">
        <f t="shared" si="9"/>
        <v>18</v>
      </c>
      <c r="M16" s="77">
        <f t="shared" si="9"/>
        <v>18</v>
      </c>
      <c r="N16" s="77">
        <f t="shared" si="9"/>
        <v>18</v>
      </c>
      <c r="O16" s="77">
        <f t="shared" si="9"/>
        <v>17</v>
      </c>
      <c r="P16" s="77">
        <f t="shared" si="9"/>
        <v>17</v>
      </c>
      <c r="Q16" s="77">
        <f>Q11</f>
        <v>17</v>
      </c>
      <c r="R16" s="77">
        <f>R11</f>
        <v>17</v>
      </c>
      <c r="S16" s="77">
        <f t="shared" si="9"/>
        <v>17</v>
      </c>
      <c r="T16" s="77">
        <f t="shared" si="9"/>
        <v>17</v>
      </c>
      <c r="U16" s="77">
        <f t="shared" si="9"/>
        <v>17</v>
      </c>
      <c r="V16" s="78">
        <f t="shared" si="2"/>
        <v>245</v>
      </c>
      <c r="W16" s="137"/>
      <c r="X16" s="33" t="s">
        <v>26</v>
      </c>
      <c r="Y16" s="34">
        <f t="shared" si="4"/>
        <v>44590</v>
      </c>
      <c r="Z16" s="35">
        <f t="shared" si="5"/>
        <v>309652.77777777781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579713.54166666663</v>
      </c>
      <c r="G17" s="83">
        <f>SUM(G9:G13)</f>
        <v>300000</v>
      </c>
      <c r="H17" s="84">
        <f t="shared" ref="H17:U17" si="10">SUM(H9:H16)</f>
        <v>136</v>
      </c>
      <c r="I17" s="84">
        <f t="shared" si="10"/>
        <v>136</v>
      </c>
      <c r="J17" s="84">
        <f t="shared" si="10"/>
        <v>135</v>
      </c>
      <c r="K17" s="84">
        <f t="shared" si="10"/>
        <v>135</v>
      </c>
      <c r="L17" s="84">
        <f t="shared" si="10"/>
        <v>135</v>
      </c>
      <c r="M17" s="84">
        <f t="shared" si="10"/>
        <v>135</v>
      </c>
      <c r="N17" s="84">
        <f t="shared" si="10"/>
        <v>135</v>
      </c>
      <c r="O17" s="84">
        <f t="shared" si="10"/>
        <v>129</v>
      </c>
      <c r="P17" s="84">
        <f t="shared" si="10"/>
        <v>129</v>
      </c>
      <c r="Q17" s="84">
        <f t="shared" si="10"/>
        <v>129</v>
      </c>
      <c r="R17" s="84">
        <f t="shared" si="10"/>
        <v>129</v>
      </c>
      <c r="S17" s="84">
        <f t="shared" si="10"/>
        <v>129</v>
      </c>
      <c r="T17" s="84">
        <f t="shared" si="10"/>
        <v>129</v>
      </c>
      <c r="U17" s="84">
        <f t="shared" si="10"/>
        <v>129</v>
      </c>
      <c r="V17" s="85">
        <f>SUM(V7:V16)</f>
        <v>1850</v>
      </c>
      <c r="W17" s="138">
        <f>SUM(W9:W16)</f>
        <v>300833.33333333326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8" width="0" style="31" hidden="1" customWidth="1"/>
    <col min="29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54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0.85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">
        <v>52</v>
      </c>
      <c r="F9" s="56">
        <f>300000/420*V9*W6</f>
        <v>120000.00000000001</v>
      </c>
      <c r="G9" s="161">
        <v>300000</v>
      </c>
      <c r="H9" s="57">
        <v>12</v>
      </c>
      <c r="I9" s="58">
        <f t="shared" ref="I9:U10" si="1">H9</f>
        <v>12</v>
      </c>
      <c r="J9" s="58">
        <f>I9</f>
        <v>12</v>
      </c>
      <c r="K9" s="58">
        <f t="shared" si="1"/>
        <v>12</v>
      </c>
      <c r="L9" s="58">
        <f>K9</f>
        <v>12</v>
      </c>
      <c r="M9" s="58">
        <f t="shared" si="1"/>
        <v>12</v>
      </c>
      <c r="N9" s="58">
        <f>M9</f>
        <v>12</v>
      </c>
      <c r="O9" s="58">
        <f>N9</f>
        <v>12</v>
      </c>
      <c r="P9" s="58">
        <f>O9</f>
        <v>12</v>
      </c>
      <c r="Q9" s="58">
        <f>P9</f>
        <v>12</v>
      </c>
      <c r="R9" s="58">
        <f>Q9</f>
        <v>12</v>
      </c>
      <c r="S9" s="58">
        <f>P9</f>
        <v>12</v>
      </c>
      <c r="T9" s="58">
        <f t="shared" si="1"/>
        <v>12</v>
      </c>
      <c r="U9" s="58">
        <f t="shared" si="1"/>
        <v>12</v>
      </c>
      <c r="V9" s="59">
        <f t="shared" ref="V9:V16" si="2">SUM(H9:U9)</f>
        <v>168</v>
      </c>
      <c r="W9" s="137">
        <f>250000/420*V9</f>
        <v>99999.999999999985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21</v>
      </c>
      <c r="I10" s="64">
        <f>H10</f>
        <v>21</v>
      </c>
      <c r="J10" s="64">
        <f>I10</f>
        <v>21</v>
      </c>
      <c r="K10" s="64">
        <f t="shared" si="1"/>
        <v>21</v>
      </c>
      <c r="L10" s="64">
        <f t="shared" ref="L10" si="3">K10</f>
        <v>21</v>
      </c>
      <c r="M10" s="64">
        <f t="shared" si="1"/>
        <v>21</v>
      </c>
      <c r="N10" s="64">
        <f>M10</f>
        <v>21</v>
      </c>
      <c r="O10" s="64">
        <f t="shared" si="1"/>
        <v>21</v>
      </c>
      <c r="P10" s="64">
        <v>20</v>
      </c>
      <c r="Q10" s="64">
        <f>P10</f>
        <v>20</v>
      </c>
      <c r="R10" s="64">
        <v>20</v>
      </c>
      <c r="S10" s="64">
        <f>R10</f>
        <v>20</v>
      </c>
      <c r="T10" s="64">
        <f t="shared" si="1"/>
        <v>20</v>
      </c>
      <c r="U10" s="64">
        <f>T10</f>
        <v>20</v>
      </c>
      <c r="V10" s="65">
        <f t="shared" si="2"/>
        <v>288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">
        <v>52</v>
      </c>
      <c r="F11" s="68">
        <f>250000/480*V11*W7</f>
        <v>158046.875</v>
      </c>
      <c r="G11" s="162"/>
      <c r="H11" s="69">
        <v>26</v>
      </c>
      <c r="I11" s="70">
        <f>H11</f>
        <v>26</v>
      </c>
      <c r="J11" s="70">
        <f t="shared" ref="J11:U11" si="4">I11</f>
        <v>26</v>
      </c>
      <c r="K11" s="70">
        <f t="shared" si="4"/>
        <v>26</v>
      </c>
      <c r="L11" s="70">
        <f t="shared" si="4"/>
        <v>26</v>
      </c>
      <c r="M11" s="70">
        <f t="shared" si="4"/>
        <v>26</v>
      </c>
      <c r="N11" s="70">
        <f t="shared" si="4"/>
        <v>26</v>
      </c>
      <c r="O11" s="70">
        <v>25</v>
      </c>
      <c r="P11" s="70">
        <f>O11</f>
        <v>25</v>
      </c>
      <c r="Q11" s="70">
        <f>P11</f>
        <v>25</v>
      </c>
      <c r="R11" s="70">
        <f>Q11</f>
        <v>25</v>
      </c>
      <c r="S11" s="70">
        <f>R11</f>
        <v>25</v>
      </c>
      <c r="T11" s="70">
        <f t="shared" si="4"/>
        <v>25</v>
      </c>
      <c r="U11" s="70">
        <f t="shared" si="4"/>
        <v>25</v>
      </c>
      <c r="V11" s="71">
        <f t="shared" si="2"/>
        <v>357</v>
      </c>
      <c r="W11" s="137">
        <f>320000/480*0.85*V11</f>
        <v>202300</v>
      </c>
      <c r="X11" s="33" t="s">
        <v>26</v>
      </c>
      <c r="Y11" s="34">
        <f t="shared" ref="Y11:Y16" si="5">V11*C11</f>
        <v>597261</v>
      </c>
      <c r="Z11" s="35">
        <f t="shared" ref="Z11:Z16" si="6">1000*(C11/24/6)*V11</f>
        <v>4147645.833333333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94828.125</v>
      </c>
      <c r="G12" s="162"/>
      <c r="H12" s="63">
        <f>H11</f>
        <v>26</v>
      </c>
      <c r="I12" s="64">
        <f>I11</f>
        <v>26</v>
      </c>
      <c r="J12" s="64">
        <f t="shared" ref="J12:U12" si="7">J11</f>
        <v>26</v>
      </c>
      <c r="K12" s="64">
        <f t="shared" si="7"/>
        <v>26</v>
      </c>
      <c r="L12" s="64">
        <f t="shared" si="7"/>
        <v>26</v>
      </c>
      <c r="M12" s="64">
        <f t="shared" si="7"/>
        <v>26</v>
      </c>
      <c r="N12" s="64">
        <f t="shared" si="7"/>
        <v>26</v>
      </c>
      <c r="O12" s="64">
        <f t="shared" si="7"/>
        <v>25</v>
      </c>
      <c r="P12" s="64">
        <f t="shared" si="7"/>
        <v>25</v>
      </c>
      <c r="Q12" s="64">
        <f>Q11</f>
        <v>25</v>
      </c>
      <c r="R12" s="64">
        <f>R11</f>
        <v>25</v>
      </c>
      <c r="S12" s="64">
        <f t="shared" si="7"/>
        <v>25</v>
      </c>
      <c r="T12" s="64">
        <f t="shared" si="7"/>
        <v>25</v>
      </c>
      <c r="U12" s="64">
        <f t="shared" si="7"/>
        <v>25</v>
      </c>
      <c r="V12" s="65">
        <f t="shared" si="2"/>
        <v>357</v>
      </c>
      <c r="W12" s="137"/>
      <c r="X12" s="33" t="s">
        <v>26</v>
      </c>
      <c r="Y12" s="34">
        <f t="shared" si="5"/>
        <v>281316</v>
      </c>
      <c r="Z12" s="35">
        <f t="shared" si="6"/>
        <v>1953583.3333333335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94828.125</v>
      </c>
      <c r="G13" s="162"/>
      <c r="H13" s="63">
        <f>H11</f>
        <v>26</v>
      </c>
      <c r="I13" s="64">
        <f>I11</f>
        <v>26</v>
      </c>
      <c r="J13" s="64">
        <f t="shared" ref="J13:U13" si="8">J11</f>
        <v>26</v>
      </c>
      <c r="K13" s="64">
        <f t="shared" si="8"/>
        <v>26</v>
      </c>
      <c r="L13" s="64">
        <f t="shared" si="8"/>
        <v>26</v>
      </c>
      <c r="M13" s="64">
        <f t="shared" si="8"/>
        <v>26</v>
      </c>
      <c r="N13" s="64">
        <f t="shared" si="8"/>
        <v>26</v>
      </c>
      <c r="O13" s="64">
        <f t="shared" si="8"/>
        <v>25</v>
      </c>
      <c r="P13" s="64">
        <f t="shared" si="8"/>
        <v>25</v>
      </c>
      <c r="Q13" s="64">
        <f>Q11</f>
        <v>25</v>
      </c>
      <c r="R13" s="64">
        <f>R11</f>
        <v>25</v>
      </c>
      <c r="S13" s="64">
        <f t="shared" si="8"/>
        <v>25</v>
      </c>
      <c r="T13" s="64">
        <f t="shared" si="8"/>
        <v>25</v>
      </c>
      <c r="U13" s="64">
        <f t="shared" si="8"/>
        <v>25</v>
      </c>
      <c r="V13" s="65">
        <f t="shared" si="2"/>
        <v>357</v>
      </c>
      <c r="W13" s="137"/>
      <c r="X13" s="33" t="s">
        <v>26</v>
      </c>
      <c r="Y13" s="34">
        <f t="shared" si="5"/>
        <v>303450</v>
      </c>
      <c r="Z13" s="35">
        <f t="shared" si="6"/>
        <v>2107291.6666666665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63218.75</v>
      </c>
      <c r="G14" s="162"/>
      <c r="H14" s="63">
        <f t="shared" ref="H14:U14" si="9">H11</f>
        <v>26</v>
      </c>
      <c r="I14" s="64">
        <f t="shared" si="9"/>
        <v>26</v>
      </c>
      <c r="J14" s="64">
        <f t="shared" si="9"/>
        <v>26</v>
      </c>
      <c r="K14" s="64">
        <f t="shared" si="9"/>
        <v>26</v>
      </c>
      <c r="L14" s="64">
        <f t="shared" si="9"/>
        <v>26</v>
      </c>
      <c r="M14" s="64">
        <f t="shared" si="9"/>
        <v>26</v>
      </c>
      <c r="N14" s="64">
        <f t="shared" si="9"/>
        <v>26</v>
      </c>
      <c r="O14" s="64">
        <f t="shared" si="9"/>
        <v>25</v>
      </c>
      <c r="P14" s="64">
        <f t="shared" si="9"/>
        <v>25</v>
      </c>
      <c r="Q14" s="64">
        <f>Q11</f>
        <v>25</v>
      </c>
      <c r="R14" s="64">
        <f>R11</f>
        <v>25</v>
      </c>
      <c r="S14" s="64">
        <f t="shared" si="9"/>
        <v>25</v>
      </c>
      <c r="T14" s="64">
        <f t="shared" si="9"/>
        <v>25</v>
      </c>
      <c r="U14" s="64">
        <f t="shared" si="9"/>
        <v>25</v>
      </c>
      <c r="V14" s="65">
        <f t="shared" si="2"/>
        <v>357</v>
      </c>
      <c r="W14" s="137"/>
      <c r="X14" s="33" t="s">
        <v>26</v>
      </c>
      <c r="Y14" s="34">
        <f t="shared" si="5"/>
        <v>178857</v>
      </c>
      <c r="Z14" s="35">
        <f t="shared" si="6"/>
        <v>1242062.5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63218.75</v>
      </c>
      <c r="G15" s="162"/>
      <c r="H15" s="63">
        <f t="shared" ref="H15:U15" si="10">H12</f>
        <v>26</v>
      </c>
      <c r="I15" s="64">
        <f t="shared" si="10"/>
        <v>26</v>
      </c>
      <c r="J15" s="64">
        <f t="shared" si="10"/>
        <v>26</v>
      </c>
      <c r="K15" s="64">
        <f t="shared" si="10"/>
        <v>26</v>
      </c>
      <c r="L15" s="64">
        <f t="shared" si="10"/>
        <v>26</v>
      </c>
      <c r="M15" s="64">
        <f t="shared" si="10"/>
        <v>26</v>
      </c>
      <c r="N15" s="64">
        <f t="shared" si="10"/>
        <v>26</v>
      </c>
      <c r="O15" s="64">
        <f t="shared" si="10"/>
        <v>25</v>
      </c>
      <c r="P15" s="64">
        <f t="shared" si="10"/>
        <v>25</v>
      </c>
      <c r="Q15" s="64">
        <f>Q11</f>
        <v>25</v>
      </c>
      <c r="R15" s="64">
        <f>R11</f>
        <v>25</v>
      </c>
      <c r="S15" s="64">
        <f t="shared" si="10"/>
        <v>25</v>
      </c>
      <c r="T15" s="64">
        <f t="shared" si="10"/>
        <v>25</v>
      </c>
      <c r="U15" s="64">
        <f t="shared" si="10"/>
        <v>25</v>
      </c>
      <c r="V15" s="65">
        <f t="shared" si="2"/>
        <v>357</v>
      </c>
      <c r="W15" s="137"/>
      <c r="X15" s="33" t="s">
        <v>26</v>
      </c>
      <c r="Y15" s="34">
        <f t="shared" si="5"/>
        <v>179571</v>
      </c>
      <c r="Z15" s="35">
        <f t="shared" si="6"/>
        <v>1247020.8333333333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39511.71875</v>
      </c>
      <c r="G16" s="163"/>
      <c r="H16" s="76">
        <f>H11</f>
        <v>26</v>
      </c>
      <c r="I16" s="77">
        <f>I11</f>
        <v>26</v>
      </c>
      <c r="J16" s="77">
        <f t="shared" ref="J16:U16" si="11">J11</f>
        <v>26</v>
      </c>
      <c r="K16" s="77">
        <f t="shared" si="11"/>
        <v>26</v>
      </c>
      <c r="L16" s="77">
        <f t="shared" si="11"/>
        <v>26</v>
      </c>
      <c r="M16" s="77">
        <f t="shared" si="11"/>
        <v>26</v>
      </c>
      <c r="N16" s="77">
        <f t="shared" si="11"/>
        <v>26</v>
      </c>
      <c r="O16" s="77">
        <f t="shared" si="11"/>
        <v>25</v>
      </c>
      <c r="P16" s="77">
        <f t="shared" si="11"/>
        <v>25</v>
      </c>
      <c r="Q16" s="77">
        <f>Q11</f>
        <v>25</v>
      </c>
      <c r="R16" s="77">
        <f>R11</f>
        <v>25</v>
      </c>
      <c r="S16" s="77">
        <f t="shared" si="11"/>
        <v>25</v>
      </c>
      <c r="T16" s="77">
        <f t="shared" si="11"/>
        <v>25</v>
      </c>
      <c r="U16" s="77">
        <f t="shared" si="11"/>
        <v>25</v>
      </c>
      <c r="V16" s="78">
        <f t="shared" si="2"/>
        <v>357</v>
      </c>
      <c r="W16" s="137"/>
      <c r="X16" s="33" t="s">
        <v>26</v>
      </c>
      <c r="Y16" s="34">
        <f t="shared" si="5"/>
        <v>64974</v>
      </c>
      <c r="Z16" s="35">
        <f t="shared" si="6"/>
        <v>451208.33333333331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633652.34375</v>
      </c>
      <c r="G17" s="83">
        <f>SUM(G9:G13)</f>
        <v>300000</v>
      </c>
      <c r="H17" s="84">
        <f t="shared" ref="H17:U17" si="12">SUM(H9:H16)</f>
        <v>189</v>
      </c>
      <c r="I17" s="84">
        <f t="shared" si="12"/>
        <v>189</v>
      </c>
      <c r="J17" s="84">
        <f t="shared" si="12"/>
        <v>189</v>
      </c>
      <c r="K17" s="84">
        <f t="shared" si="12"/>
        <v>189</v>
      </c>
      <c r="L17" s="84">
        <f t="shared" si="12"/>
        <v>189</v>
      </c>
      <c r="M17" s="84">
        <f t="shared" si="12"/>
        <v>189</v>
      </c>
      <c r="N17" s="84">
        <f t="shared" si="12"/>
        <v>189</v>
      </c>
      <c r="O17" s="84">
        <f t="shared" si="12"/>
        <v>183</v>
      </c>
      <c r="P17" s="84">
        <f t="shared" si="12"/>
        <v>182</v>
      </c>
      <c r="Q17" s="84">
        <f t="shared" si="12"/>
        <v>182</v>
      </c>
      <c r="R17" s="84">
        <f t="shared" si="12"/>
        <v>182</v>
      </c>
      <c r="S17" s="84">
        <f t="shared" si="12"/>
        <v>182</v>
      </c>
      <c r="T17" s="84">
        <f t="shared" si="12"/>
        <v>182</v>
      </c>
      <c r="U17" s="84">
        <f t="shared" si="12"/>
        <v>182</v>
      </c>
      <c r="V17" s="85">
        <f>SUM(V7:V16)</f>
        <v>2598</v>
      </c>
      <c r="W17" s="138">
        <f>SUM(W9:W16)</f>
        <v>302300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64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0.65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15秒</v>
      </c>
      <c r="F9" s="56">
        <f>300000/420*V9*W6</f>
        <v>153000</v>
      </c>
      <c r="G9" s="161">
        <v>300000</v>
      </c>
      <c r="H9" s="57">
        <v>18</v>
      </c>
      <c r="I9" s="58">
        <f t="shared" ref="I9:U11" si="1">H9</f>
        <v>18</v>
      </c>
      <c r="J9" s="58">
        <f>I9</f>
        <v>18</v>
      </c>
      <c r="K9" s="58">
        <f t="shared" si="1"/>
        <v>18</v>
      </c>
      <c r="L9" s="58">
        <f>K9</f>
        <v>18</v>
      </c>
      <c r="M9" s="58">
        <f t="shared" si="1"/>
        <v>18</v>
      </c>
      <c r="N9" s="58">
        <f>M9</f>
        <v>18</v>
      </c>
      <c r="O9" s="58">
        <f>N9</f>
        <v>18</v>
      </c>
      <c r="P9" s="58">
        <f>O9</f>
        <v>18</v>
      </c>
      <c r="Q9" s="58">
        <f>P9</f>
        <v>18</v>
      </c>
      <c r="R9" s="58">
        <f>Q9</f>
        <v>18</v>
      </c>
      <c r="S9" s="58">
        <f>P9</f>
        <v>18</v>
      </c>
      <c r="T9" s="58">
        <f t="shared" si="1"/>
        <v>18</v>
      </c>
      <c r="U9" s="58">
        <f t="shared" si="1"/>
        <v>18</v>
      </c>
      <c r="V9" s="59">
        <f t="shared" ref="V9:V16" si="2">SUM(H9:U9)</f>
        <v>252</v>
      </c>
      <c r="W9" s="137">
        <f>250000/420*W6*V9</f>
        <v>127499.99999999999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31</v>
      </c>
      <c r="I10" s="64">
        <f>H10</f>
        <v>31</v>
      </c>
      <c r="J10" s="64">
        <f>I10</f>
        <v>31</v>
      </c>
      <c r="K10" s="64">
        <f t="shared" si="1"/>
        <v>31</v>
      </c>
      <c r="L10" s="64">
        <f t="shared" si="1"/>
        <v>31</v>
      </c>
      <c r="M10" s="64">
        <f t="shared" si="1"/>
        <v>31</v>
      </c>
      <c r="N10" s="64">
        <f>M10</f>
        <v>31</v>
      </c>
      <c r="O10" s="64">
        <f t="shared" si="1"/>
        <v>31</v>
      </c>
      <c r="P10" s="64">
        <f t="shared" ref="P10:R11" si="3">O10</f>
        <v>31</v>
      </c>
      <c r="Q10" s="64">
        <f t="shared" si="3"/>
        <v>31</v>
      </c>
      <c r="R10" s="64">
        <f t="shared" si="3"/>
        <v>31</v>
      </c>
      <c r="S10" s="64">
        <f t="shared" ref="S10" si="4">P10</f>
        <v>31</v>
      </c>
      <c r="T10" s="64">
        <v>30</v>
      </c>
      <c r="U10" s="64">
        <f>T10</f>
        <v>30</v>
      </c>
      <c r="V10" s="65">
        <f t="shared" si="2"/>
        <v>432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tr">
        <f>B4</f>
        <v>15秒</v>
      </c>
      <c r="F11" s="68">
        <f>250000/480*V11*W7</f>
        <v>137447.91666666669</v>
      </c>
      <c r="G11" s="162"/>
      <c r="H11" s="69">
        <v>29</v>
      </c>
      <c r="I11" s="70">
        <f>H11</f>
        <v>29</v>
      </c>
      <c r="J11" s="70">
        <f t="shared" si="1"/>
        <v>29</v>
      </c>
      <c r="K11" s="70">
        <f t="shared" si="1"/>
        <v>29</v>
      </c>
      <c r="L11" s="70">
        <f t="shared" si="1"/>
        <v>29</v>
      </c>
      <c r="M11" s="70">
        <f t="shared" si="1"/>
        <v>29</v>
      </c>
      <c r="N11" s="70">
        <f t="shared" si="1"/>
        <v>29</v>
      </c>
      <c r="O11" s="70">
        <f t="shared" si="1"/>
        <v>29</v>
      </c>
      <c r="P11" s="70">
        <f t="shared" si="3"/>
        <v>29</v>
      </c>
      <c r="Q11" s="70">
        <f t="shared" si="3"/>
        <v>29</v>
      </c>
      <c r="R11" s="70">
        <f t="shared" si="3"/>
        <v>29</v>
      </c>
      <c r="S11" s="70">
        <f>R11</f>
        <v>29</v>
      </c>
      <c r="T11" s="70">
        <f>S11</f>
        <v>29</v>
      </c>
      <c r="U11" s="70">
        <f t="shared" si="1"/>
        <v>29</v>
      </c>
      <c r="V11" s="71">
        <f t="shared" si="2"/>
        <v>406</v>
      </c>
      <c r="W11" s="137">
        <f>320000/480*W7*V11</f>
        <v>175933.33333333331</v>
      </c>
      <c r="X11" s="33" t="s">
        <v>26</v>
      </c>
      <c r="Y11" s="34">
        <f t="shared" ref="Y11:Y16" si="5">V11*C11</f>
        <v>679238</v>
      </c>
      <c r="Z11" s="35">
        <f t="shared" ref="Z11:Z16" si="6">1000*(C11/24/6)*V11</f>
        <v>4716930.555555555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82468.75</v>
      </c>
      <c r="G12" s="162"/>
      <c r="H12" s="63">
        <f>H11</f>
        <v>29</v>
      </c>
      <c r="I12" s="64">
        <f>I11</f>
        <v>29</v>
      </c>
      <c r="J12" s="64">
        <f t="shared" ref="J12:U12" si="7">J11</f>
        <v>29</v>
      </c>
      <c r="K12" s="64">
        <f t="shared" si="7"/>
        <v>29</v>
      </c>
      <c r="L12" s="64">
        <f t="shared" si="7"/>
        <v>29</v>
      </c>
      <c r="M12" s="64">
        <f t="shared" si="7"/>
        <v>29</v>
      </c>
      <c r="N12" s="64">
        <f t="shared" si="7"/>
        <v>29</v>
      </c>
      <c r="O12" s="64">
        <f t="shared" si="7"/>
        <v>29</v>
      </c>
      <c r="P12" s="64">
        <f t="shared" si="7"/>
        <v>29</v>
      </c>
      <c r="Q12" s="64">
        <f>Q11</f>
        <v>29</v>
      </c>
      <c r="R12" s="64">
        <f>R11</f>
        <v>29</v>
      </c>
      <c r="S12" s="64">
        <f t="shared" si="7"/>
        <v>29</v>
      </c>
      <c r="T12" s="64">
        <f t="shared" si="7"/>
        <v>29</v>
      </c>
      <c r="U12" s="64">
        <f t="shared" si="7"/>
        <v>29</v>
      </c>
      <c r="V12" s="65">
        <f t="shared" si="2"/>
        <v>406</v>
      </c>
      <c r="W12" s="137"/>
      <c r="X12" s="33" t="s">
        <v>26</v>
      </c>
      <c r="Y12" s="34">
        <f t="shared" si="5"/>
        <v>319928</v>
      </c>
      <c r="Z12" s="35">
        <f t="shared" si="6"/>
        <v>2221722.2222222225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82468.75</v>
      </c>
      <c r="G13" s="162"/>
      <c r="H13" s="63">
        <f>H11</f>
        <v>29</v>
      </c>
      <c r="I13" s="64">
        <f>I11</f>
        <v>29</v>
      </c>
      <c r="J13" s="64">
        <f t="shared" ref="J13:U13" si="8">J11</f>
        <v>29</v>
      </c>
      <c r="K13" s="64">
        <f t="shared" si="8"/>
        <v>29</v>
      </c>
      <c r="L13" s="64">
        <f t="shared" si="8"/>
        <v>29</v>
      </c>
      <c r="M13" s="64">
        <f t="shared" si="8"/>
        <v>29</v>
      </c>
      <c r="N13" s="64">
        <f t="shared" si="8"/>
        <v>29</v>
      </c>
      <c r="O13" s="64">
        <f t="shared" si="8"/>
        <v>29</v>
      </c>
      <c r="P13" s="64">
        <f t="shared" si="8"/>
        <v>29</v>
      </c>
      <c r="Q13" s="64">
        <f>Q11</f>
        <v>29</v>
      </c>
      <c r="R13" s="64">
        <f>R11</f>
        <v>29</v>
      </c>
      <c r="S13" s="64">
        <f t="shared" si="8"/>
        <v>29</v>
      </c>
      <c r="T13" s="64">
        <f t="shared" si="8"/>
        <v>29</v>
      </c>
      <c r="U13" s="64">
        <f t="shared" si="8"/>
        <v>29</v>
      </c>
      <c r="V13" s="65">
        <f t="shared" si="2"/>
        <v>406</v>
      </c>
      <c r="W13" s="137"/>
      <c r="X13" s="33" t="s">
        <v>26</v>
      </c>
      <c r="Y13" s="34">
        <f t="shared" si="5"/>
        <v>345100</v>
      </c>
      <c r="Z13" s="35">
        <f t="shared" si="6"/>
        <v>2396527.7777777775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54979.166666666672</v>
      </c>
      <c r="G14" s="162"/>
      <c r="H14" s="63">
        <f t="shared" ref="H14:U15" si="9">H11</f>
        <v>29</v>
      </c>
      <c r="I14" s="64">
        <f t="shared" si="9"/>
        <v>29</v>
      </c>
      <c r="J14" s="64">
        <f t="shared" si="9"/>
        <v>29</v>
      </c>
      <c r="K14" s="64">
        <f t="shared" si="9"/>
        <v>29</v>
      </c>
      <c r="L14" s="64">
        <f t="shared" si="9"/>
        <v>29</v>
      </c>
      <c r="M14" s="64">
        <f t="shared" si="9"/>
        <v>29</v>
      </c>
      <c r="N14" s="64">
        <f t="shared" si="9"/>
        <v>29</v>
      </c>
      <c r="O14" s="64">
        <f t="shared" si="9"/>
        <v>29</v>
      </c>
      <c r="P14" s="64">
        <f t="shared" si="9"/>
        <v>29</v>
      </c>
      <c r="Q14" s="64">
        <f>Q11</f>
        <v>29</v>
      </c>
      <c r="R14" s="64">
        <f>R11</f>
        <v>29</v>
      </c>
      <c r="S14" s="64">
        <f t="shared" si="9"/>
        <v>29</v>
      </c>
      <c r="T14" s="64">
        <f t="shared" si="9"/>
        <v>29</v>
      </c>
      <c r="U14" s="64">
        <f t="shared" si="9"/>
        <v>29</v>
      </c>
      <c r="V14" s="65">
        <f t="shared" si="2"/>
        <v>406</v>
      </c>
      <c r="W14" s="137"/>
      <c r="X14" s="33" t="s">
        <v>26</v>
      </c>
      <c r="Y14" s="34">
        <f t="shared" si="5"/>
        <v>203406</v>
      </c>
      <c r="Z14" s="35">
        <f t="shared" si="6"/>
        <v>1412541.6666666665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54979.166666666672</v>
      </c>
      <c r="G15" s="162"/>
      <c r="H15" s="63">
        <f t="shared" si="9"/>
        <v>29</v>
      </c>
      <c r="I15" s="64">
        <f t="shared" si="9"/>
        <v>29</v>
      </c>
      <c r="J15" s="64">
        <f t="shared" si="9"/>
        <v>29</v>
      </c>
      <c r="K15" s="64">
        <f t="shared" si="9"/>
        <v>29</v>
      </c>
      <c r="L15" s="64">
        <f t="shared" si="9"/>
        <v>29</v>
      </c>
      <c r="M15" s="64">
        <f t="shared" si="9"/>
        <v>29</v>
      </c>
      <c r="N15" s="64">
        <f t="shared" si="9"/>
        <v>29</v>
      </c>
      <c r="O15" s="64">
        <f t="shared" si="9"/>
        <v>29</v>
      </c>
      <c r="P15" s="64">
        <f t="shared" si="9"/>
        <v>29</v>
      </c>
      <c r="Q15" s="64">
        <f>Q11</f>
        <v>29</v>
      </c>
      <c r="R15" s="64">
        <f>R11</f>
        <v>29</v>
      </c>
      <c r="S15" s="64">
        <f t="shared" si="9"/>
        <v>29</v>
      </c>
      <c r="T15" s="64">
        <f t="shared" si="9"/>
        <v>29</v>
      </c>
      <c r="U15" s="64">
        <f t="shared" si="9"/>
        <v>29</v>
      </c>
      <c r="V15" s="65">
        <f t="shared" si="2"/>
        <v>406</v>
      </c>
      <c r="W15" s="137"/>
      <c r="X15" s="33" t="s">
        <v>26</v>
      </c>
      <c r="Y15" s="34">
        <f t="shared" si="5"/>
        <v>204218</v>
      </c>
      <c r="Z15" s="35">
        <f t="shared" si="6"/>
        <v>1418180.5555555555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34361.979166666672</v>
      </c>
      <c r="G16" s="163"/>
      <c r="H16" s="76">
        <f>H11</f>
        <v>29</v>
      </c>
      <c r="I16" s="77">
        <f>I11</f>
        <v>29</v>
      </c>
      <c r="J16" s="77">
        <f t="shared" ref="J16:U16" si="10">J11</f>
        <v>29</v>
      </c>
      <c r="K16" s="77">
        <f t="shared" si="10"/>
        <v>29</v>
      </c>
      <c r="L16" s="77">
        <f t="shared" si="10"/>
        <v>29</v>
      </c>
      <c r="M16" s="77">
        <f t="shared" si="10"/>
        <v>29</v>
      </c>
      <c r="N16" s="77">
        <f t="shared" si="10"/>
        <v>29</v>
      </c>
      <c r="O16" s="77">
        <f t="shared" si="10"/>
        <v>29</v>
      </c>
      <c r="P16" s="77">
        <f t="shared" si="10"/>
        <v>29</v>
      </c>
      <c r="Q16" s="77">
        <f>Q11</f>
        <v>29</v>
      </c>
      <c r="R16" s="77">
        <f>R11</f>
        <v>29</v>
      </c>
      <c r="S16" s="77">
        <f t="shared" si="10"/>
        <v>29</v>
      </c>
      <c r="T16" s="77">
        <f t="shared" si="10"/>
        <v>29</v>
      </c>
      <c r="U16" s="77">
        <f t="shared" si="10"/>
        <v>29</v>
      </c>
      <c r="V16" s="78">
        <f t="shared" si="2"/>
        <v>406</v>
      </c>
      <c r="W16" s="137"/>
      <c r="X16" s="33" t="s">
        <v>26</v>
      </c>
      <c r="Y16" s="34">
        <f t="shared" si="5"/>
        <v>73892</v>
      </c>
      <c r="Z16" s="35">
        <f t="shared" si="6"/>
        <v>513138.88888888888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599705.72916666663</v>
      </c>
      <c r="G17" s="83">
        <f>SUM(G9:G13)</f>
        <v>300000</v>
      </c>
      <c r="H17" s="84">
        <f t="shared" ref="H17:U17" si="11">SUM(H9:H16)</f>
        <v>223</v>
      </c>
      <c r="I17" s="84">
        <f t="shared" si="11"/>
        <v>223</v>
      </c>
      <c r="J17" s="84">
        <f t="shared" si="11"/>
        <v>223</v>
      </c>
      <c r="K17" s="84">
        <f t="shared" si="11"/>
        <v>223</v>
      </c>
      <c r="L17" s="84">
        <f t="shared" si="11"/>
        <v>223</v>
      </c>
      <c r="M17" s="84">
        <f t="shared" si="11"/>
        <v>223</v>
      </c>
      <c r="N17" s="84">
        <f t="shared" si="11"/>
        <v>223</v>
      </c>
      <c r="O17" s="84">
        <f t="shared" si="11"/>
        <v>223</v>
      </c>
      <c r="P17" s="84">
        <f t="shared" si="11"/>
        <v>223</v>
      </c>
      <c r="Q17" s="84">
        <f t="shared" si="11"/>
        <v>223</v>
      </c>
      <c r="R17" s="84">
        <f t="shared" si="11"/>
        <v>223</v>
      </c>
      <c r="S17" s="84">
        <f t="shared" si="11"/>
        <v>223</v>
      </c>
      <c r="T17" s="84">
        <f t="shared" si="11"/>
        <v>222</v>
      </c>
      <c r="U17" s="84">
        <f t="shared" si="11"/>
        <v>222</v>
      </c>
      <c r="V17" s="85">
        <f>SUM(V7:V16)</f>
        <v>3120</v>
      </c>
      <c r="W17" s="138">
        <f>SUM(W9:W16)</f>
        <v>303433.33333333331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10秒</v>
      </c>
      <c r="F9" s="56">
        <f>300000/420*V9*W6</f>
        <v>156000.00000000003</v>
      </c>
      <c r="G9" s="161">
        <v>300000</v>
      </c>
      <c r="H9" s="57">
        <v>24</v>
      </c>
      <c r="I9" s="58">
        <f t="shared" ref="I9:U11" si="1">H9</f>
        <v>24</v>
      </c>
      <c r="J9" s="58">
        <f>I9</f>
        <v>24</v>
      </c>
      <c r="K9" s="58">
        <f t="shared" si="1"/>
        <v>24</v>
      </c>
      <c r="L9" s="58">
        <f>K9</f>
        <v>24</v>
      </c>
      <c r="M9" s="58">
        <f t="shared" si="1"/>
        <v>24</v>
      </c>
      <c r="N9" s="58">
        <f>M9</f>
        <v>24</v>
      </c>
      <c r="O9" s="58">
        <f>N9</f>
        <v>24</v>
      </c>
      <c r="P9" s="58">
        <f>O9</f>
        <v>24</v>
      </c>
      <c r="Q9" s="58">
        <f>P9</f>
        <v>24</v>
      </c>
      <c r="R9" s="58">
        <f>Q9</f>
        <v>24</v>
      </c>
      <c r="S9" s="58">
        <f>P9</f>
        <v>24</v>
      </c>
      <c r="T9" s="58">
        <f t="shared" si="1"/>
        <v>24</v>
      </c>
      <c r="U9" s="58">
        <f t="shared" si="1"/>
        <v>24</v>
      </c>
      <c r="V9" s="59">
        <f t="shared" ref="V9:V16" si="2">SUM(H9:U9)</f>
        <v>336</v>
      </c>
      <c r="W9" s="137">
        <f>250000/420*W6*V9</f>
        <v>129999.99999999999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43</v>
      </c>
      <c r="I10" s="64">
        <f>H10</f>
        <v>43</v>
      </c>
      <c r="J10" s="64">
        <f t="shared" si="1"/>
        <v>43</v>
      </c>
      <c r="K10" s="64">
        <f t="shared" si="1"/>
        <v>43</v>
      </c>
      <c r="L10" s="64">
        <f t="shared" si="1"/>
        <v>43</v>
      </c>
      <c r="M10" s="64">
        <f t="shared" si="1"/>
        <v>43</v>
      </c>
      <c r="N10" s="64">
        <f>M10</f>
        <v>43</v>
      </c>
      <c r="O10" s="64">
        <f t="shared" si="1"/>
        <v>43</v>
      </c>
      <c r="P10" s="64">
        <f t="shared" ref="P10:R11" si="3">O10</f>
        <v>43</v>
      </c>
      <c r="Q10" s="64">
        <f t="shared" si="3"/>
        <v>43</v>
      </c>
      <c r="R10" s="64">
        <f t="shared" si="3"/>
        <v>43</v>
      </c>
      <c r="S10" s="64">
        <f t="shared" ref="S10" si="4">P10</f>
        <v>43</v>
      </c>
      <c r="T10" s="64">
        <v>30</v>
      </c>
      <c r="U10" s="64">
        <f>T10</f>
        <v>30</v>
      </c>
      <c r="V10" s="65">
        <f t="shared" si="2"/>
        <v>576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tr">
        <f>B4</f>
        <v>10秒</v>
      </c>
      <c r="F11" s="68">
        <f>250000/480*V11*W7</f>
        <v>134895.83333333334</v>
      </c>
      <c r="G11" s="162"/>
      <c r="H11" s="69">
        <v>37</v>
      </c>
      <c r="I11" s="70">
        <f>H11</f>
        <v>37</v>
      </c>
      <c r="J11" s="70">
        <f t="shared" si="1"/>
        <v>37</v>
      </c>
      <c r="K11" s="70">
        <f t="shared" si="1"/>
        <v>37</v>
      </c>
      <c r="L11" s="70">
        <f t="shared" si="1"/>
        <v>37</v>
      </c>
      <c r="M11" s="70">
        <f>L11</f>
        <v>37</v>
      </c>
      <c r="N11" s="70">
        <f t="shared" si="1"/>
        <v>37</v>
      </c>
      <c r="O11" s="70">
        <f t="shared" si="1"/>
        <v>37</v>
      </c>
      <c r="P11" s="70">
        <f t="shared" si="3"/>
        <v>37</v>
      </c>
      <c r="Q11" s="70">
        <f t="shared" si="3"/>
        <v>37</v>
      </c>
      <c r="R11" s="70">
        <f t="shared" si="3"/>
        <v>37</v>
      </c>
      <c r="S11" s="70">
        <f>R11</f>
        <v>37</v>
      </c>
      <c r="T11" s="70">
        <f t="shared" si="1"/>
        <v>37</v>
      </c>
      <c r="U11" s="70">
        <f t="shared" si="1"/>
        <v>37</v>
      </c>
      <c r="V11" s="71">
        <f t="shared" si="2"/>
        <v>518</v>
      </c>
      <c r="W11" s="137">
        <f>320000/480*W7*V11</f>
        <v>172666.66666666666</v>
      </c>
      <c r="X11" s="33" t="s">
        <v>26</v>
      </c>
      <c r="Y11" s="34">
        <f t="shared" ref="Y11:Y16" si="5">V11*C11</f>
        <v>866614</v>
      </c>
      <c r="Z11" s="35">
        <f t="shared" ref="Z11:Z16" si="6">1000*(C11/24/6)*V11</f>
        <v>6018152.7777777771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80937.5</v>
      </c>
      <c r="G12" s="162"/>
      <c r="H12" s="63">
        <f>H11</f>
        <v>37</v>
      </c>
      <c r="I12" s="64">
        <f>I11</f>
        <v>37</v>
      </c>
      <c r="J12" s="64">
        <f t="shared" ref="J12:U12" si="7">J11</f>
        <v>37</v>
      </c>
      <c r="K12" s="64">
        <f t="shared" si="7"/>
        <v>37</v>
      </c>
      <c r="L12" s="64">
        <f t="shared" si="7"/>
        <v>37</v>
      </c>
      <c r="M12" s="64">
        <f t="shared" si="7"/>
        <v>37</v>
      </c>
      <c r="N12" s="64">
        <f t="shared" si="7"/>
        <v>37</v>
      </c>
      <c r="O12" s="64">
        <f t="shared" si="7"/>
        <v>37</v>
      </c>
      <c r="P12" s="64">
        <f t="shared" si="7"/>
        <v>37</v>
      </c>
      <c r="Q12" s="64">
        <f>Q11</f>
        <v>37</v>
      </c>
      <c r="R12" s="64">
        <f>R11</f>
        <v>37</v>
      </c>
      <c r="S12" s="64">
        <f t="shared" si="7"/>
        <v>37</v>
      </c>
      <c r="T12" s="64">
        <f t="shared" si="7"/>
        <v>37</v>
      </c>
      <c r="U12" s="64">
        <f t="shared" si="7"/>
        <v>37</v>
      </c>
      <c r="V12" s="65">
        <f t="shared" si="2"/>
        <v>518</v>
      </c>
      <c r="W12" s="137"/>
      <c r="X12" s="33" t="s">
        <v>26</v>
      </c>
      <c r="Y12" s="34">
        <f t="shared" si="5"/>
        <v>408184</v>
      </c>
      <c r="Z12" s="35">
        <f t="shared" si="6"/>
        <v>2834611.1111111115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80937.5</v>
      </c>
      <c r="G13" s="162"/>
      <c r="H13" s="63">
        <f>H11</f>
        <v>37</v>
      </c>
      <c r="I13" s="64">
        <f>I11</f>
        <v>37</v>
      </c>
      <c r="J13" s="64">
        <f t="shared" ref="J13:U13" si="8">J11</f>
        <v>37</v>
      </c>
      <c r="K13" s="64">
        <f t="shared" si="8"/>
        <v>37</v>
      </c>
      <c r="L13" s="64">
        <f t="shared" si="8"/>
        <v>37</v>
      </c>
      <c r="M13" s="64">
        <f t="shared" si="8"/>
        <v>37</v>
      </c>
      <c r="N13" s="64">
        <f t="shared" si="8"/>
        <v>37</v>
      </c>
      <c r="O13" s="64">
        <f t="shared" si="8"/>
        <v>37</v>
      </c>
      <c r="P13" s="64">
        <f t="shared" si="8"/>
        <v>37</v>
      </c>
      <c r="Q13" s="64">
        <f>Q11</f>
        <v>37</v>
      </c>
      <c r="R13" s="64">
        <f>R11</f>
        <v>37</v>
      </c>
      <c r="S13" s="64">
        <f t="shared" si="8"/>
        <v>37</v>
      </c>
      <c r="T13" s="64">
        <f t="shared" si="8"/>
        <v>37</v>
      </c>
      <c r="U13" s="64">
        <f t="shared" si="8"/>
        <v>37</v>
      </c>
      <c r="V13" s="65">
        <f t="shared" si="2"/>
        <v>518</v>
      </c>
      <c r="W13" s="137"/>
      <c r="X13" s="33" t="s">
        <v>26</v>
      </c>
      <c r="Y13" s="34">
        <f t="shared" si="5"/>
        <v>440300</v>
      </c>
      <c r="Z13" s="35">
        <f t="shared" si="6"/>
        <v>3057638.8888888885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53958.333333333336</v>
      </c>
      <c r="G14" s="162"/>
      <c r="H14" s="63">
        <f t="shared" ref="H14:U15" si="9">H11</f>
        <v>37</v>
      </c>
      <c r="I14" s="64">
        <f t="shared" si="9"/>
        <v>37</v>
      </c>
      <c r="J14" s="64">
        <f t="shared" si="9"/>
        <v>37</v>
      </c>
      <c r="K14" s="64">
        <f t="shared" si="9"/>
        <v>37</v>
      </c>
      <c r="L14" s="64">
        <f t="shared" si="9"/>
        <v>37</v>
      </c>
      <c r="M14" s="64">
        <f t="shared" si="9"/>
        <v>37</v>
      </c>
      <c r="N14" s="64">
        <f t="shared" si="9"/>
        <v>37</v>
      </c>
      <c r="O14" s="64">
        <f t="shared" si="9"/>
        <v>37</v>
      </c>
      <c r="P14" s="64">
        <f t="shared" si="9"/>
        <v>37</v>
      </c>
      <c r="Q14" s="64">
        <f>Q11</f>
        <v>37</v>
      </c>
      <c r="R14" s="64">
        <f>R11</f>
        <v>37</v>
      </c>
      <c r="S14" s="64">
        <f t="shared" si="9"/>
        <v>37</v>
      </c>
      <c r="T14" s="64">
        <f t="shared" si="9"/>
        <v>37</v>
      </c>
      <c r="U14" s="64">
        <f t="shared" si="9"/>
        <v>37</v>
      </c>
      <c r="V14" s="65">
        <f t="shared" si="2"/>
        <v>518</v>
      </c>
      <c r="W14" s="137"/>
      <c r="X14" s="33" t="s">
        <v>26</v>
      </c>
      <c r="Y14" s="34">
        <f t="shared" si="5"/>
        <v>259518</v>
      </c>
      <c r="Z14" s="35">
        <f t="shared" si="6"/>
        <v>1802208.3333333333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53958.333333333336</v>
      </c>
      <c r="G15" s="162"/>
      <c r="H15" s="63">
        <f t="shared" si="9"/>
        <v>37</v>
      </c>
      <c r="I15" s="64">
        <f t="shared" si="9"/>
        <v>37</v>
      </c>
      <c r="J15" s="64">
        <f t="shared" si="9"/>
        <v>37</v>
      </c>
      <c r="K15" s="64">
        <f t="shared" si="9"/>
        <v>37</v>
      </c>
      <c r="L15" s="64">
        <f t="shared" si="9"/>
        <v>37</v>
      </c>
      <c r="M15" s="64">
        <f t="shared" si="9"/>
        <v>37</v>
      </c>
      <c r="N15" s="64">
        <f t="shared" si="9"/>
        <v>37</v>
      </c>
      <c r="O15" s="64">
        <f t="shared" si="9"/>
        <v>37</v>
      </c>
      <c r="P15" s="64">
        <f t="shared" si="9"/>
        <v>37</v>
      </c>
      <c r="Q15" s="64">
        <f>Q11</f>
        <v>37</v>
      </c>
      <c r="R15" s="64">
        <f>R11</f>
        <v>37</v>
      </c>
      <c r="S15" s="64">
        <f t="shared" si="9"/>
        <v>37</v>
      </c>
      <c r="T15" s="64">
        <f t="shared" si="9"/>
        <v>37</v>
      </c>
      <c r="U15" s="64">
        <f t="shared" si="9"/>
        <v>37</v>
      </c>
      <c r="V15" s="65">
        <f t="shared" si="2"/>
        <v>518</v>
      </c>
      <c r="W15" s="137"/>
      <c r="X15" s="33" t="s">
        <v>26</v>
      </c>
      <c r="Y15" s="34">
        <f t="shared" si="5"/>
        <v>260554</v>
      </c>
      <c r="Z15" s="35">
        <f t="shared" si="6"/>
        <v>1809402.7777777775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33723.958333333336</v>
      </c>
      <c r="G16" s="163"/>
      <c r="H16" s="76">
        <f>H11</f>
        <v>37</v>
      </c>
      <c r="I16" s="77">
        <f>I11</f>
        <v>37</v>
      </c>
      <c r="J16" s="77">
        <f t="shared" ref="J16:U16" si="10">J11</f>
        <v>37</v>
      </c>
      <c r="K16" s="77">
        <f t="shared" si="10"/>
        <v>37</v>
      </c>
      <c r="L16" s="77">
        <f t="shared" si="10"/>
        <v>37</v>
      </c>
      <c r="M16" s="77">
        <f t="shared" si="10"/>
        <v>37</v>
      </c>
      <c r="N16" s="77">
        <f t="shared" si="10"/>
        <v>37</v>
      </c>
      <c r="O16" s="77">
        <f t="shared" si="10"/>
        <v>37</v>
      </c>
      <c r="P16" s="77">
        <f t="shared" si="10"/>
        <v>37</v>
      </c>
      <c r="Q16" s="77">
        <f>Q11</f>
        <v>37</v>
      </c>
      <c r="R16" s="77">
        <f>R11</f>
        <v>37</v>
      </c>
      <c r="S16" s="77">
        <f t="shared" si="10"/>
        <v>37</v>
      </c>
      <c r="T16" s="77">
        <f t="shared" si="10"/>
        <v>37</v>
      </c>
      <c r="U16" s="77">
        <f t="shared" si="10"/>
        <v>37</v>
      </c>
      <c r="V16" s="78">
        <f t="shared" si="2"/>
        <v>518</v>
      </c>
      <c r="W16" s="137"/>
      <c r="X16" s="33" t="s">
        <v>26</v>
      </c>
      <c r="Y16" s="34">
        <f t="shared" si="5"/>
        <v>94276</v>
      </c>
      <c r="Z16" s="35">
        <f t="shared" si="6"/>
        <v>654694.4444444445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594411.45833333337</v>
      </c>
      <c r="G17" s="83">
        <f>SUM(G9:G13)</f>
        <v>300000</v>
      </c>
      <c r="H17" s="84">
        <f t="shared" ref="H17:U17" si="11">SUM(H9:H16)</f>
        <v>289</v>
      </c>
      <c r="I17" s="84">
        <f t="shared" si="11"/>
        <v>289</v>
      </c>
      <c r="J17" s="84">
        <f t="shared" si="11"/>
        <v>289</v>
      </c>
      <c r="K17" s="84">
        <f t="shared" si="11"/>
        <v>289</v>
      </c>
      <c r="L17" s="84">
        <f t="shared" si="11"/>
        <v>289</v>
      </c>
      <c r="M17" s="84">
        <f t="shared" si="11"/>
        <v>289</v>
      </c>
      <c r="N17" s="84">
        <f t="shared" si="11"/>
        <v>289</v>
      </c>
      <c r="O17" s="84">
        <f t="shared" si="11"/>
        <v>289</v>
      </c>
      <c r="P17" s="84">
        <f t="shared" si="11"/>
        <v>289</v>
      </c>
      <c r="Q17" s="84">
        <f t="shared" si="11"/>
        <v>289</v>
      </c>
      <c r="R17" s="84">
        <f t="shared" si="11"/>
        <v>289</v>
      </c>
      <c r="S17" s="84">
        <f t="shared" si="11"/>
        <v>289</v>
      </c>
      <c r="T17" s="84">
        <f t="shared" si="11"/>
        <v>276</v>
      </c>
      <c r="U17" s="84">
        <f t="shared" si="11"/>
        <v>276</v>
      </c>
      <c r="V17" s="85">
        <f>SUM(V7:V16)</f>
        <v>4020</v>
      </c>
      <c r="W17" s="138">
        <f>SUM(W9:W16)</f>
        <v>302666.66666666663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15000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315000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30萬版-30秒版</vt:lpstr>
      <vt:lpstr>30萬版-20秒版</vt:lpstr>
      <vt:lpstr>30萬版-15秒版</vt:lpstr>
      <vt:lpstr>30萬版-10秒版 </vt:lpstr>
      <vt:lpstr>'30萬版-10秒版 '!Print_Area</vt:lpstr>
      <vt:lpstr>'30萬版-15秒版'!Print_Area</vt:lpstr>
      <vt:lpstr>'30萬版-20秒版'!Print_Area</vt:lpstr>
      <vt:lpstr>'30萬版-30秒版'!Print_Area</vt:lpstr>
      <vt:lpstr>'30萬版-10秒版 '!Print_Titles</vt:lpstr>
      <vt:lpstr>'30萬版-15秒版'!Print_Titles</vt:lpstr>
      <vt:lpstr>'30萬版-20秒版'!Print_Titles</vt:lpstr>
      <vt:lpstr>'30萬版-30秒版'!Print_Titles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2026-09-02T02:37:03Z</dcterms:modified>
</cp:coreProperties>
</file>