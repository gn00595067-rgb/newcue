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13_ncr:1_{16411D4D-5C37-4CDD-95C2-51DCA42D9DF3}" xr6:coauthVersionLast="47" xr6:coauthVersionMax="47" xr10:uidLastSave="{00000000-0000-0000-0000-000000000000}"/>
  <bookViews>
    <workbookView xWindow="-93" yWindow="-93" windowWidth="25786" windowHeight="13866" xr2:uid="{917EC74D-08D0-400E-AACA-1F5EE105B0A9}"/>
  </bookViews>
  <sheets>
    <sheet name="20萬版-30秒版" sheetId="6" r:id="rId1"/>
    <sheet name="20萬版-20秒版" sheetId="1" r:id="rId2"/>
    <sheet name="20萬版-15秒版" sheetId="5" r:id="rId3"/>
    <sheet name="20萬版-10秒版 " sheetId="4" r:id="rId4"/>
  </sheets>
  <externalReferences>
    <externalReference r:id="rId5"/>
  </externalReferences>
  <definedNames>
    <definedName name="_">#REF!</definedName>
    <definedName name="_1_Fill_1">#REF!</definedName>
    <definedName name="_10_Fill_5">#REF!</definedName>
    <definedName name="_10Excel_BuiltIn_Criteria_1">#REF!</definedName>
    <definedName name="_12_Fill_6">#REF!</definedName>
    <definedName name="_12Excel_BuiltIn_Criteria_2">#REF!</definedName>
    <definedName name="_14Excel_BuiltIn_Criteria_1">#REF!</definedName>
    <definedName name="_15Excel_BuiltIn_Criteria_1_1">#REF!</definedName>
    <definedName name="_15Excel_BuiltIn_Criteria_3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2Excel_BuiltIn_Criteria_1">#REF!</definedName>
    <definedName name="_3_Fill_1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4Excel_BuiltIn_Criteria_1">#REF!</definedName>
    <definedName name="_5_Fill_1">#REF!</definedName>
    <definedName name="_6_Fill_1_1">#REF!</definedName>
    <definedName name="_6_Fill_2">#REF!</definedName>
    <definedName name="_6_Fill_3">#REF!</definedName>
    <definedName name="_8_Fill_4">#REF!</definedName>
    <definedName name="_9Excel_BuiltIn_Criteria_1">#REF!</definedName>
    <definedName name="_Fill">#REF!</definedName>
    <definedName name="_Fill_1">#REF!</definedName>
    <definedName name="_Fill_2">#REF!</definedName>
    <definedName name="_xlnm._FilterDatabase" localSheetId="3" hidden="1">'20萬版-10秒版 '!$A$8:$V$29</definedName>
    <definedName name="_xlnm._FilterDatabase" localSheetId="2" hidden="1">'20萬版-15秒版'!$A$8:$V$29</definedName>
    <definedName name="_xlnm._FilterDatabase" localSheetId="1" hidden="1">'20萬版-20秒版'!$A$8:$V$29</definedName>
    <definedName name="_xlnm._FilterDatabase" localSheetId="0" hidden="1">'20萬版-30秒版'!$A$8:$V$29</definedName>
    <definedName name="aaaa">#REF!</definedName>
    <definedName name="_xlnm.Criteria">#REF!</definedName>
    <definedName name="Excel_BuiltIn__FilterDatabase">'[1]3月'!#REF!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GG">#REF!</definedName>
    <definedName name="_xlnm.Print_Area" localSheetId="3">'20萬版-10秒版 '!$A$1:$V$31</definedName>
    <definedName name="_xlnm.Print_Area" localSheetId="2">'20萬版-15秒版'!$A$1:$V$31</definedName>
    <definedName name="_xlnm.Print_Area" localSheetId="1">'20萬版-20秒版'!$A$1:$V$31</definedName>
    <definedName name="_xlnm.Print_Area" localSheetId="0">'20萬版-30秒版'!$A$1:$V$31</definedName>
    <definedName name="_xlnm.Print_Titles" localSheetId="3">'20萬版-10秒版 '!$6:$8</definedName>
    <definedName name="_xlnm.Print_Titles" localSheetId="2">'20萬版-15秒版'!$6:$8</definedName>
    <definedName name="_xlnm.Print_Titles" localSheetId="1">'20萬版-20秒版'!$6:$8</definedName>
    <definedName name="_xlnm.Print_Titles" localSheetId="0">'20萬版-30秒版'!$6:$8</definedName>
    <definedName name="s">#REF!</definedName>
    <definedName name="我">#REF!</definedName>
    <definedName name="修">#REF!</definedName>
    <definedName name="修改2">#REF!</definedName>
    <definedName name="爆波執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" i="4" l="1"/>
  <c r="S10" i="5"/>
  <c r="O9" i="1"/>
  <c r="L29" i="6" l="1"/>
  <c r="G17" i="6"/>
  <c r="H16" i="6"/>
  <c r="H14" i="6"/>
  <c r="H13" i="6"/>
  <c r="H12" i="6"/>
  <c r="I11" i="6"/>
  <c r="J11" i="6" s="1"/>
  <c r="E11" i="6"/>
  <c r="I10" i="6"/>
  <c r="J10" i="6" s="1"/>
  <c r="K10" i="6" s="1"/>
  <c r="M10" i="6" s="1"/>
  <c r="N10" i="6" s="1"/>
  <c r="O10" i="6" s="1"/>
  <c r="P10" i="6" s="1"/>
  <c r="I9" i="6"/>
  <c r="J9" i="6" s="1"/>
  <c r="E9" i="6"/>
  <c r="I7" i="6"/>
  <c r="J7" i="6" s="1"/>
  <c r="K7" i="6" s="1"/>
  <c r="L7" i="6" s="1"/>
  <c r="M7" i="6" s="1"/>
  <c r="N7" i="6" s="1"/>
  <c r="O7" i="6" s="1"/>
  <c r="P7" i="6" s="1"/>
  <c r="L29" i="5"/>
  <c r="G17" i="5"/>
  <c r="I16" i="5"/>
  <c r="H16" i="5"/>
  <c r="H14" i="5"/>
  <c r="H13" i="5"/>
  <c r="H12" i="5"/>
  <c r="H15" i="5" s="1"/>
  <c r="I11" i="5"/>
  <c r="J11" i="5" s="1"/>
  <c r="E11" i="5"/>
  <c r="I10" i="5"/>
  <c r="J10" i="5" s="1"/>
  <c r="I9" i="5"/>
  <c r="E9" i="5"/>
  <c r="I7" i="5"/>
  <c r="J7" i="5" s="1"/>
  <c r="K7" i="5" s="1"/>
  <c r="L7" i="5" s="1"/>
  <c r="M7" i="5" s="1"/>
  <c r="N7" i="5" s="1"/>
  <c r="O7" i="5" s="1"/>
  <c r="P7" i="5" s="1"/>
  <c r="N10" i="4"/>
  <c r="O10" i="4" s="1"/>
  <c r="P10" i="4" s="1"/>
  <c r="E11" i="4"/>
  <c r="E9" i="4"/>
  <c r="L29" i="4"/>
  <c r="G19" i="4"/>
  <c r="G20" i="4" s="1"/>
  <c r="G17" i="4"/>
  <c r="H16" i="4"/>
  <c r="H14" i="4"/>
  <c r="H13" i="4"/>
  <c r="H12" i="4"/>
  <c r="H15" i="4" s="1"/>
  <c r="I11" i="4"/>
  <c r="I16" i="4" s="1"/>
  <c r="I10" i="4"/>
  <c r="I9" i="4"/>
  <c r="I7" i="4"/>
  <c r="J7" i="4" s="1"/>
  <c r="K7" i="4" s="1"/>
  <c r="L7" i="4" s="1"/>
  <c r="M7" i="4" s="1"/>
  <c r="N7" i="4" s="1"/>
  <c r="O7" i="4" s="1"/>
  <c r="P7" i="4" s="1"/>
  <c r="P9" i="1"/>
  <c r="I10" i="1"/>
  <c r="K10" i="1" s="1"/>
  <c r="L10" i="1" s="1"/>
  <c r="M10" i="1" s="1"/>
  <c r="N10" i="1" s="1"/>
  <c r="O10" i="1" s="1"/>
  <c r="P10" i="1" s="1"/>
  <c r="H14" i="1"/>
  <c r="I12" i="6" l="1"/>
  <c r="I15" i="6" s="1"/>
  <c r="I13" i="6"/>
  <c r="G20" i="6"/>
  <c r="K9" i="6"/>
  <c r="Q10" i="6"/>
  <c r="R10" i="6" s="1"/>
  <c r="S10" i="6"/>
  <c r="T10" i="6" s="1"/>
  <c r="U10" i="6" s="1"/>
  <c r="J16" i="6"/>
  <c r="J13" i="6"/>
  <c r="J12" i="6"/>
  <c r="J15" i="6" s="1"/>
  <c r="J14" i="6"/>
  <c r="K11" i="6"/>
  <c r="I14" i="6"/>
  <c r="H15" i="6"/>
  <c r="H17" i="6" s="1"/>
  <c r="I16" i="6"/>
  <c r="G19" i="6"/>
  <c r="I13" i="5"/>
  <c r="I14" i="5"/>
  <c r="K10" i="5"/>
  <c r="L10" i="5" s="1"/>
  <c r="M10" i="5" s="1"/>
  <c r="N10" i="5" s="1"/>
  <c r="O10" i="5" s="1"/>
  <c r="J12" i="5"/>
  <c r="J15" i="5" s="1"/>
  <c r="J14" i="5"/>
  <c r="K11" i="5"/>
  <c r="J16" i="5"/>
  <c r="J13" i="5"/>
  <c r="G19" i="5"/>
  <c r="G20" i="5" s="1"/>
  <c r="J9" i="5"/>
  <c r="H17" i="5"/>
  <c r="I12" i="5"/>
  <c r="S10" i="1"/>
  <c r="T10" i="1" s="1"/>
  <c r="U10" i="1" s="1"/>
  <c r="S10" i="4"/>
  <c r="Q10" i="4"/>
  <c r="R10" i="4" s="1"/>
  <c r="H17" i="4"/>
  <c r="J9" i="4"/>
  <c r="J11" i="4"/>
  <c r="I12" i="4"/>
  <c r="J10" i="4"/>
  <c r="K10" i="4" s="1"/>
  <c r="L10" i="4" s="1"/>
  <c r="M10" i="4" s="1"/>
  <c r="I13" i="4"/>
  <c r="I14" i="4"/>
  <c r="Q10" i="1"/>
  <c r="R10" i="1" s="1"/>
  <c r="L29" i="1"/>
  <c r="G17" i="1"/>
  <c r="G19" i="1" s="1"/>
  <c r="H16" i="1"/>
  <c r="H13" i="1"/>
  <c r="H12" i="1"/>
  <c r="H15" i="1" s="1"/>
  <c r="I11" i="1"/>
  <c r="I7" i="1"/>
  <c r="J7" i="1" s="1"/>
  <c r="K7" i="1" s="1"/>
  <c r="L7" i="1" s="1"/>
  <c r="M7" i="1" s="1"/>
  <c r="N7" i="1" s="1"/>
  <c r="O7" i="1" s="1"/>
  <c r="P7" i="1" s="1"/>
  <c r="L9" i="6" l="1"/>
  <c r="K16" i="6"/>
  <c r="K14" i="6"/>
  <c r="K13" i="6"/>
  <c r="K12" i="6"/>
  <c r="L11" i="6"/>
  <c r="V10" i="6"/>
  <c r="I17" i="6"/>
  <c r="J17" i="6"/>
  <c r="J17" i="5"/>
  <c r="K9" i="5"/>
  <c r="K14" i="5"/>
  <c r="L11" i="5"/>
  <c r="K16" i="5"/>
  <c r="K13" i="5"/>
  <c r="K12" i="5"/>
  <c r="K15" i="5" s="1"/>
  <c r="I15" i="5"/>
  <c r="T10" i="5"/>
  <c r="U10" i="5" s="1"/>
  <c r="Q10" i="5"/>
  <c r="J16" i="4"/>
  <c r="J14" i="4"/>
  <c r="J13" i="4"/>
  <c r="J12" i="4"/>
  <c r="J15" i="4" s="1"/>
  <c r="K11" i="4"/>
  <c r="I15" i="4"/>
  <c r="K9" i="4"/>
  <c r="T10" i="4"/>
  <c r="I13" i="1"/>
  <c r="I14" i="1"/>
  <c r="I9" i="1"/>
  <c r="J9" i="1" s="1"/>
  <c r="H17" i="1"/>
  <c r="J11" i="1"/>
  <c r="I12" i="1"/>
  <c r="I15" i="1" s="1"/>
  <c r="I16" i="1"/>
  <c r="G20" i="1"/>
  <c r="K15" i="6" l="1"/>
  <c r="L12" i="6"/>
  <c r="L15" i="6" s="1"/>
  <c r="L16" i="6"/>
  <c r="L14" i="6"/>
  <c r="L13" i="6"/>
  <c r="M11" i="6"/>
  <c r="Z10" i="6"/>
  <c r="Y10" i="6"/>
  <c r="M9" i="6"/>
  <c r="V10" i="5"/>
  <c r="M11" i="5"/>
  <c r="L13" i="5"/>
  <c r="L12" i="5"/>
  <c r="L16" i="5"/>
  <c r="L14" i="5"/>
  <c r="K17" i="5"/>
  <c r="L9" i="5"/>
  <c r="I17" i="5"/>
  <c r="J17" i="4"/>
  <c r="U10" i="4"/>
  <c r="L9" i="4"/>
  <c r="I17" i="4"/>
  <c r="K14" i="4"/>
  <c r="K13" i="4"/>
  <c r="K16" i="4"/>
  <c r="K12" i="4"/>
  <c r="K15" i="4" s="1"/>
  <c r="L11" i="4"/>
  <c r="J13" i="1"/>
  <c r="J14" i="1"/>
  <c r="J12" i="1"/>
  <c r="J15" i="1" s="1"/>
  <c r="J16" i="1"/>
  <c r="K11" i="1"/>
  <c r="N9" i="6" l="1"/>
  <c r="L17" i="6"/>
  <c r="K17" i="6"/>
  <c r="M16" i="6"/>
  <c r="M14" i="6"/>
  <c r="M13" i="6"/>
  <c r="M12" i="6"/>
  <c r="M15" i="6" s="1"/>
  <c r="N11" i="6"/>
  <c r="M13" i="5"/>
  <c r="M12" i="5"/>
  <c r="M15" i="5" s="1"/>
  <c r="M16" i="5"/>
  <c r="M14" i="5"/>
  <c r="N11" i="5"/>
  <c r="Z10" i="5"/>
  <c r="Y10" i="5"/>
  <c r="M9" i="5"/>
  <c r="L15" i="5"/>
  <c r="L14" i="4"/>
  <c r="L16" i="4"/>
  <c r="L13" i="4"/>
  <c r="L12" i="4"/>
  <c r="L15" i="4" s="1"/>
  <c r="M11" i="4"/>
  <c r="M9" i="4"/>
  <c r="K17" i="4"/>
  <c r="V10" i="4"/>
  <c r="L11" i="1"/>
  <c r="K14" i="1"/>
  <c r="I17" i="1"/>
  <c r="K9" i="1"/>
  <c r="K16" i="1"/>
  <c r="K13" i="1"/>
  <c r="K12" i="1"/>
  <c r="K15" i="1" s="1"/>
  <c r="N16" i="6" l="1"/>
  <c r="N14" i="6"/>
  <c r="N13" i="6"/>
  <c r="N12" i="6"/>
  <c r="M17" i="6"/>
  <c r="O9" i="6"/>
  <c r="L17" i="5"/>
  <c r="M17" i="5"/>
  <c r="N9" i="5"/>
  <c r="N12" i="5"/>
  <c r="O11" i="5"/>
  <c r="N16" i="5"/>
  <c r="N13" i="5"/>
  <c r="N14" i="5"/>
  <c r="L17" i="4"/>
  <c r="Y10" i="4"/>
  <c r="Z10" i="4"/>
  <c r="M12" i="4"/>
  <c r="M14" i="4"/>
  <c r="M13" i="4"/>
  <c r="N11" i="4"/>
  <c r="M16" i="4"/>
  <c r="N9" i="4"/>
  <c r="O9" i="4" s="1"/>
  <c r="P9" i="4" s="1"/>
  <c r="L14" i="1"/>
  <c r="L16" i="1"/>
  <c r="L13" i="1"/>
  <c r="M11" i="1"/>
  <c r="M14" i="1" s="1"/>
  <c r="L12" i="1"/>
  <c r="L15" i="1" s="1"/>
  <c r="J17" i="1"/>
  <c r="L9" i="1"/>
  <c r="N15" i="6" l="1"/>
  <c r="N17" i="6" s="1"/>
  <c r="P9" i="6"/>
  <c r="O16" i="6"/>
  <c r="O14" i="6"/>
  <c r="O13" i="6"/>
  <c r="O12" i="6"/>
  <c r="O15" i="6" s="1"/>
  <c r="N15" i="5"/>
  <c r="N17" i="5" s="1"/>
  <c r="O16" i="5"/>
  <c r="O12" i="5"/>
  <c r="O15" i="5" s="1"/>
  <c r="O14" i="5"/>
  <c r="O13" i="5"/>
  <c r="P11" i="5"/>
  <c r="O9" i="5"/>
  <c r="Q9" i="4"/>
  <c r="R9" i="4" s="1"/>
  <c r="S9" i="4"/>
  <c r="T9" i="4" s="1"/>
  <c r="U9" i="4" s="1"/>
  <c r="M15" i="4"/>
  <c r="M17" i="4" s="1"/>
  <c r="N16" i="4"/>
  <c r="N14" i="4"/>
  <c r="N12" i="4"/>
  <c r="N15" i="4" s="1"/>
  <c r="N13" i="4"/>
  <c r="O11" i="4"/>
  <c r="M16" i="1"/>
  <c r="M13" i="1"/>
  <c r="M12" i="1"/>
  <c r="M15" i="1" s="1"/>
  <c r="N11" i="1"/>
  <c r="K17" i="1"/>
  <c r="M9" i="1"/>
  <c r="O14" i="1" l="1"/>
  <c r="P11" i="1"/>
  <c r="Q11" i="1" s="1"/>
  <c r="O17" i="6"/>
  <c r="Q9" i="6"/>
  <c r="S9" i="6"/>
  <c r="P14" i="6"/>
  <c r="P13" i="6"/>
  <c r="P12" i="6"/>
  <c r="P15" i="6" s="1"/>
  <c r="Q11" i="6"/>
  <c r="P16" i="6"/>
  <c r="O17" i="5"/>
  <c r="P9" i="5"/>
  <c r="P13" i="5"/>
  <c r="Q11" i="5"/>
  <c r="P16" i="5"/>
  <c r="P14" i="5"/>
  <c r="P12" i="5"/>
  <c r="P15" i="5" s="1"/>
  <c r="N17" i="4"/>
  <c r="V9" i="4"/>
  <c r="W9" i="4" s="1"/>
  <c r="O16" i="4"/>
  <c r="O12" i="4"/>
  <c r="O15" i="4" s="1"/>
  <c r="O13" i="4"/>
  <c r="P11" i="4"/>
  <c r="O14" i="4"/>
  <c r="Z9" i="4"/>
  <c r="Z20" i="4" s="1"/>
  <c r="N13" i="1"/>
  <c r="N16" i="1"/>
  <c r="N9" i="1"/>
  <c r="N14" i="1"/>
  <c r="N12" i="1"/>
  <c r="N15" i="1" s="1"/>
  <c r="L17" i="1"/>
  <c r="O16" i="1"/>
  <c r="O13" i="1"/>
  <c r="O12" i="1"/>
  <c r="O15" i="1" s="1"/>
  <c r="R11" i="1" l="1"/>
  <c r="Q14" i="1"/>
  <c r="Q12" i="1"/>
  <c r="Q13" i="1"/>
  <c r="Q16" i="1"/>
  <c r="Q15" i="1"/>
  <c r="P14" i="1"/>
  <c r="Q15" i="6"/>
  <c r="Q14" i="6"/>
  <c r="Q13" i="6"/>
  <c r="Q12" i="6"/>
  <c r="Q16" i="6"/>
  <c r="P17" i="6"/>
  <c r="T9" i="6"/>
  <c r="R9" i="6"/>
  <c r="Q15" i="5"/>
  <c r="Q14" i="5"/>
  <c r="Q16" i="5"/>
  <c r="Q13" i="5"/>
  <c r="Q12" i="5"/>
  <c r="R11" i="5"/>
  <c r="P17" i="5"/>
  <c r="S9" i="5"/>
  <c r="Q9" i="5"/>
  <c r="O17" i="4"/>
  <c r="F9" i="4"/>
  <c r="Y9" i="4"/>
  <c r="Y20" i="4" s="1"/>
  <c r="P13" i="4"/>
  <c r="P12" i="4"/>
  <c r="P15" i="4" s="1"/>
  <c r="Q11" i="4"/>
  <c r="P14" i="4"/>
  <c r="P16" i="4"/>
  <c r="N17" i="1"/>
  <c r="M17" i="1"/>
  <c r="O17" i="1"/>
  <c r="Q9" i="1"/>
  <c r="P16" i="1"/>
  <c r="P13" i="1"/>
  <c r="P12" i="1"/>
  <c r="P15" i="1" s="1"/>
  <c r="P17" i="4" l="1"/>
  <c r="R15" i="1"/>
  <c r="S11" i="1"/>
  <c r="S14" i="1" s="1"/>
  <c r="R14" i="1"/>
  <c r="R12" i="1"/>
  <c r="R16" i="1"/>
  <c r="R13" i="1"/>
  <c r="Q17" i="6"/>
  <c r="U9" i="6"/>
  <c r="R14" i="6"/>
  <c r="R13" i="6"/>
  <c r="R12" i="6"/>
  <c r="S11" i="6"/>
  <c r="R16" i="6"/>
  <c r="R15" i="6"/>
  <c r="Q17" i="5"/>
  <c r="R9" i="5"/>
  <c r="T9" i="5"/>
  <c r="R16" i="5"/>
  <c r="R14" i="5"/>
  <c r="S11" i="5"/>
  <c r="R15" i="5"/>
  <c r="R13" i="5"/>
  <c r="R12" i="5"/>
  <c r="Q12" i="4"/>
  <c r="R11" i="4"/>
  <c r="Q13" i="4"/>
  <c r="Q15" i="4"/>
  <c r="Q16" i="4"/>
  <c r="Q14" i="4"/>
  <c r="R9" i="1"/>
  <c r="Q17" i="1"/>
  <c r="S9" i="1"/>
  <c r="S12" i="1"/>
  <c r="S15" i="1" s="1"/>
  <c r="T11" i="1"/>
  <c r="T14" i="1" s="1"/>
  <c r="S16" i="1"/>
  <c r="Q17" i="4" l="1"/>
  <c r="S13" i="1"/>
  <c r="R17" i="1"/>
  <c r="R17" i="6"/>
  <c r="S14" i="6"/>
  <c r="S13" i="6"/>
  <c r="S12" i="6"/>
  <c r="S15" i="6" s="1"/>
  <c r="T11" i="6"/>
  <c r="S16" i="6"/>
  <c r="V9" i="6"/>
  <c r="U9" i="5"/>
  <c r="R17" i="5"/>
  <c r="V9" i="5"/>
  <c r="W9" i="5" s="1"/>
  <c r="S14" i="5"/>
  <c r="S13" i="5"/>
  <c r="S16" i="5"/>
  <c r="S12" i="5"/>
  <c r="S15" i="5" s="1"/>
  <c r="T11" i="5"/>
  <c r="R14" i="4"/>
  <c r="R12" i="4"/>
  <c r="S11" i="4"/>
  <c r="R16" i="4"/>
  <c r="R13" i="4"/>
  <c r="R15" i="4"/>
  <c r="T9" i="1"/>
  <c r="P17" i="1"/>
  <c r="T13" i="1"/>
  <c r="T12" i="1"/>
  <c r="T15" i="1" s="1"/>
  <c r="U11" i="1"/>
  <c r="T16" i="1"/>
  <c r="R17" i="4" l="1"/>
  <c r="S17" i="6"/>
  <c r="Z9" i="6"/>
  <c r="Z20" i="6" s="1"/>
  <c r="Y9" i="6"/>
  <c r="Y20" i="6" s="1"/>
  <c r="F9" i="6"/>
  <c r="W9" i="6"/>
  <c r="T13" i="6"/>
  <c r="T12" i="6"/>
  <c r="T15" i="6" s="1"/>
  <c r="U11" i="6"/>
  <c r="T16" i="6"/>
  <c r="T14" i="6"/>
  <c r="T13" i="5"/>
  <c r="U11" i="5"/>
  <c r="T14" i="5"/>
  <c r="T12" i="5"/>
  <c r="T15" i="5" s="1"/>
  <c r="T16" i="5"/>
  <c r="Y9" i="5"/>
  <c r="Y20" i="5" s="1"/>
  <c r="Z9" i="5"/>
  <c r="Z20" i="5" s="1"/>
  <c r="F9" i="5"/>
  <c r="S17" i="5"/>
  <c r="S13" i="4"/>
  <c r="S12" i="4"/>
  <c r="S15" i="4" s="1"/>
  <c r="T11" i="4"/>
  <c r="S16" i="4"/>
  <c r="S14" i="4"/>
  <c r="U14" i="1"/>
  <c r="V14" i="1" s="1"/>
  <c r="F14" i="1" s="1"/>
  <c r="V11" i="1"/>
  <c r="S17" i="1"/>
  <c r="U9" i="1"/>
  <c r="V9" i="1" s="1"/>
  <c r="F9" i="1" s="1"/>
  <c r="U12" i="1"/>
  <c r="U15" i="1" s="1"/>
  <c r="V15" i="1" s="1"/>
  <c r="F15" i="1" s="1"/>
  <c r="U16" i="1"/>
  <c r="U13" i="1"/>
  <c r="T17" i="5" l="1"/>
  <c r="W11" i="1"/>
  <c r="F12" i="1"/>
  <c r="F11" i="1"/>
  <c r="T17" i="6"/>
  <c r="U13" i="6"/>
  <c r="V13" i="6" s="1"/>
  <c r="F13" i="6" s="1"/>
  <c r="U12" i="6"/>
  <c r="U16" i="6"/>
  <c r="V16" i="6" s="1"/>
  <c r="F16" i="6" s="1"/>
  <c r="U14" i="6"/>
  <c r="V14" i="6" s="1"/>
  <c r="F14" i="6" s="1"/>
  <c r="V11" i="6"/>
  <c r="W11" i="6" s="1"/>
  <c r="U16" i="5"/>
  <c r="V16" i="5" s="1"/>
  <c r="F16" i="5" s="1"/>
  <c r="U13" i="5"/>
  <c r="V13" i="5" s="1"/>
  <c r="F13" i="5" s="1"/>
  <c r="U12" i="5"/>
  <c r="U14" i="5"/>
  <c r="V14" i="5" s="1"/>
  <c r="F14" i="5" s="1"/>
  <c r="V11" i="5"/>
  <c r="S17" i="4"/>
  <c r="T13" i="4"/>
  <c r="T12" i="4"/>
  <c r="T15" i="4" s="1"/>
  <c r="U11" i="4"/>
  <c r="T16" i="4"/>
  <c r="T14" i="4"/>
  <c r="Y14" i="1"/>
  <c r="Z14" i="1"/>
  <c r="W9" i="1"/>
  <c r="Z15" i="1"/>
  <c r="Y15" i="1"/>
  <c r="U17" i="1"/>
  <c r="T17" i="1"/>
  <c r="W11" i="5" l="1"/>
  <c r="F11" i="5"/>
  <c r="F12" i="5"/>
  <c r="W17" i="1"/>
  <c r="W17" i="6"/>
  <c r="F12" i="6"/>
  <c r="F11" i="6"/>
  <c r="Z14" i="6"/>
  <c r="Y14" i="6"/>
  <c r="Z13" i="6"/>
  <c r="Y13" i="6"/>
  <c r="Z16" i="6"/>
  <c r="Y16" i="6"/>
  <c r="Z11" i="6"/>
  <c r="Y11" i="6"/>
  <c r="U15" i="6"/>
  <c r="V15" i="6" s="1"/>
  <c r="F15" i="6" s="1"/>
  <c r="V12" i="6"/>
  <c r="V17" i="6" s="1"/>
  <c r="Z11" i="5"/>
  <c r="Y11" i="5"/>
  <c r="W17" i="5"/>
  <c r="Z13" i="5"/>
  <c r="Y13" i="5"/>
  <c r="Z14" i="5"/>
  <c r="Y14" i="5"/>
  <c r="U15" i="5"/>
  <c r="V12" i="5"/>
  <c r="Z16" i="5"/>
  <c r="Y16" i="5"/>
  <c r="T17" i="4"/>
  <c r="U12" i="4"/>
  <c r="U16" i="4"/>
  <c r="V16" i="4" s="1"/>
  <c r="F16" i="4" s="1"/>
  <c r="U14" i="4"/>
  <c r="V14" i="4" s="1"/>
  <c r="F14" i="4" s="1"/>
  <c r="U13" i="4"/>
  <c r="V13" i="4" s="1"/>
  <c r="F13" i="4" s="1"/>
  <c r="V11" i="4"/>
  <c r="V16" i="1"/>
  <c r="F16" i="1" s="1"/>
  <c r="V12" i="1"/>
  <c r="V13" i="1"/>
  <c r="F13" i="1" s="1"/>
  <c r="F12" i="4" l="1"/>
  <c r="F11" i="4"/>
  <c r="Z15" i="6"/>
  <c r="Y15" i="6"/>
  <c r="U17" i="6"/>
  <c r="Y12" i="6"/>
  <c r="Z12" i="6"/>
  <c r="V15" i="5"/>
  <c r="U17" i="5"/>
  <c r="Y12" i="5"/>
  <c r="Z12" i="5"/>
  <c r="Y11" i="4"/>
  <c r="Z11" i="4"/>
  <c r="W17" i="4"/>
  <c r="Z13" i="4"/>
  <c r="Y13" i="4"/>
  <c r="Z14" i="4"/>
  <c r="Y14" i="4"/>
  <c r="Y16" i="4"/>
  <c r="Z16" i="4"/>
  <c r="U15" i="4"/>
  <c r="V12" i="4"/>
  <c r="V10" i="1"/>
  <c r="V17" i="1" s="1"/>
  <c r="Z9" i="1"/>
  <c r="Y9" i="1"/>
  <c r="Z12" i="1"/>
  <c r="Y12" i="1"/>
  <c r="Z11" i="1"/>
  <c r="Y11" i="1"/>
  <c r="Z13" i="1"/>
  <c r="Y13" i="1"/>
  <c r="Y16" i="1"/>
  <c r="Z16" i="1"/>
  <c r="V17" i="5" l="1"/>
  <c r="F15" i="5"/>
  <c r="F17" i="6"/>
  <c r="Y15" i="5"/>
  <c r="Z15" i="5"/>
  <c r="F17" i="5"/>
  <c r="V15" i="4"/>
  <c r="F15" i="4" s="1"/>
  <c r="U17" i="4"/>
  <c r="Y12" i="4"/>
  <c r="Z12" i="4"/>
  <c r="Y10" i="1"/>
  <c r="Z10" i="1"/>
  <c r="Y15" i="4" l="1"/>
  <c r="F17" i="4"/>
  <c r="Z15" i="4"/>
  <c r="V17" i="4"/>
  <c r="Y20" i="1"/>
  <c r="Z20" i="1"/>
  <c r="F17" i="1"/>
</calcChain>
</file>

<file path=xl/sharedStrings.xml><?xml version="1.0" encoding="utf-8"?>
<sst xmlns="http://schemas.openxmlformats.org/spreadsheetml/2006/main" count="306" uniqueCount="68">
  <si>
    <t xml:space="preserve">               Media Schedule</t>
    <phoneticPr fontId="5" type="noConversion"/>
  </si>
  <si>
    <t>客戶名稱：</t>
    <phoneticPr fontId="5" type="noConversion"/>
  </si>
  <si>
    <t>Product：</t>
    <phoneticPr fontId="5" type="noConversion"/>
  </si>
  <si>
    <t xml:space="preserve">Period : </t>
    <phoneticPr fontId="5" type="noConversion"/>
  </si>
  <si>
    <t xml:space="preserve">Medium : </t>
    <phoneticPr fontId="5" type="noConversion"/>
  </si>
  <si>
    <t>Station</t>
    <phoneticPr fontId="10" type="noConversion"/>
  </si>
  <si>
    <t>Location</t>
    <phoneticPr fontId="10" type="noConversion"/>
  </si>
  <si>
    <t>Program</t>
    <phoneticPr fontId="10" type="noConversion"/>
  </si>
  <si>
    <t>Day-part</t>
    <phoneticPr fontId="10" type="noConversion"/>
  </si>
  <si>
    <t>Size</t>
    <phoneticPr fontId="5" type="noConversion"/>
  </si>
  <si>
    <t>rate   (Net)</t>
    <phoneticPr fontId="10" type="noConversion"/>
  </si>
  <si>
    <t>Package-cost
(Net)</t>
    <phoneticPr fontId="10" type="noConversion"/>
  </si>
  <si>
    <t>檔次</t>
    <phoneticPr fontId="5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</si>
  <si>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</si>
  <si>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</si>
  <si>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</si>
  <si>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</si>
  <si>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</si>
  <si>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</si>
  <si>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日</t>
    <phoneticPr fontId="4" type="noConversion"/>
  </si>
  <si>
    <t>格蘭英語走期確認</t>
  </si>
  <si>
    <t>總曝光次數</t>
    <phoneticPr fontId="4" type="noConversion"/>
  </si>
  <si>
    <t>曝光期間
店舖總人流量</t>
    <phoneticPr fontId="4" type="noConversion"/>
  </si>
  <si>
    <t>TV北</t>
    <phoneticPr fontId="5" type="noConversion"/>
  </si>
  <si>
    <t>TV桃</t>
    <phoneticPr fontId="5" type="noConversion"/>
  </si>
  <si>
    <t>廣播北</t>
    <phoneticPr fontId="5" type="noConversion"/>
  </si>
  <si>
    <t>桃區-桃竹苗</t>
  </si>
  <si>
    <t>Total</t>
    <phoneticPr fontId="10" type="noConversion"/>
  </si>
  <si>
    <t>製作</t>
    <phoneticPr fontId="5" type="noConversion"/>
  </si>
  <si>
    <t>5% VAT</t>
    <phoneticPr fontId="5" type="noConversion"/>
  </si>
  <si>
    <t>Grand Total</t>
    <phoneticPr fontId="5" type="noConversion"/>
  </si>
  <si>
    <t>Remarks：</t>
  </si>
  <si>
    <t>2.以上節目名稱如有異動，以上檔時節目名稱為主，如遇時段滿檔，上檔時間挪後或更換至同級時段。</t>
    <phoneticPr fontId="5" type="noConversion"/>
  </si>
  <si>
    <t>3.通路店鋪數與開機率開機率至少七成(以上)。每日因加盟數調整，或遇店舖年度季度改裝、設備維護升級及保修等狀況，會有一定幅度增減。</t>
    <phoneticPr fontId="5" type="noConversion"/>
  </si>
  <si>
    <t>乙    方：</t>
    <phoneticPr fontId="5" type="noConversion"/>
  </si>
  <si>
    <t>統一編號：</t>
  </si>
  <si>
    <t>客戶簽章：</t>
  </si>
  <si>
    <t>09-23</t>
    <phoneticPr fontId="5" type="noConversion"/>
  </si>
  <si>
    <t>00-24</t>
    <phoneticPr fontId="4" type="noConversion"/>
  </si>
  <si>
    <t>計量販</t>
    <phoneticPr fontId="4" type="noConversion"/>
  </si>
  <si>
    <t>4.託播方需於上檔前 5 個工作天，提供廣告帶(mp3)。</t>
    <phoneticPr fontId="5" type="noConversion"/>
  </si>
  <si>
    <t>中區-中彰投雲</t>
    <phoneticPr fontId="4" type="noConversion"/>
  </si>
  <si>
    <t>南區-高屏</t>
    <phoneticPr fontId="4" type="noConversion"/>
  </si>
  <si>
    <t>南區-霊嘉南</t>
    <phoneticPr fontId="4" type="noConversion"/>
  </si>
  <si>
    <t>東區-宜花東</t>
    <phoneticPr fontId="4" type="noConversion"/>
  </si>
  <si>
    <t>全省</t>
    <phoneticPr fontId="5" type="noConversion"/>
  </si>
  <si>
    <t>萬家福-量販店</t>
    <phoneticPr fontId="5" type="noConversion"/>
  </si>
  <si>
    <t>樂家康-超市</t>
    <phoneticPr fontId="5" type="noConversion"/>
  </si>
  <si>
    <t>62店</t>
    <phoneticPr fontId="4" type="noConversion"/>
  </si>
  <si>
    <t>217店</t>
    <phoneticPr fontId="4" type="noConversion"/>
  </si>
  <si>
    <t>20秒</t>
    <phoneticPr fontId="4" type="noConversion"/>
  </si>
  <si>
    <t>計價模式</t>
    <phoneticPr fontId="4" type="noConversion"/>
  </si>
  <si>
    <t>20秒</t>
    <phoneticPr fontId="5" type="noConversion"/>
  </si>
  <si>
    <t>2026. 09. 21 - 2026. 10. 04</t>
    <phoneticPr fontId="5" type="noConversion"/>
  </si>
  <si>
    <t>9月</t>
    <phoneticPr fontId="4" type="noConversion"/>
  </si>
  <si>
    <t>1.請於 2026/09/14 (一) 下午17:00前 回簽及進單，方可順利上檔。</t>
    <phoneticPr fontId="5" type="noConversion"/>
  </si>
  <si>
    <t>5.雙方同意費用請款月份 : 月          ，如有修正必要，將另行E-Mail告知，並視為正式合約之一部分。</t>
    <phoneticPr fontId="5" type="noConversion"/>
  </si>
  <si>
    <t>6.付款兌現日期：115.XX.XX</t>
    <phoneticPr fontId="5" type="noConversion"/>
  </si>
  <si>
    <t>甲       方 ：</t>
    <phoneticPr fontId="5" type="noConversion"/>
  </si>
  <si>
    <t>統一編號：</t>
    <phoneticPr fontId="5" type="noConversion"/>
  </si>
  <si>
    <t xml:space="preserve">  承辦人：</t>
    <phoneticPr fontId="4" type="noConversion"/>
  </si>
  <si>
    <t>10秒</t>
    <phoneticPr fontId="5" type="noConversion"/>
  </si>
  <si>
    <t>15秒</t>
    <phoneticPr fontId="5" type="noConversion"/>
  </si>
  <si>
    <t>30秒</t>
    <phoneticPr fontId="5" type="noConversion"/>
  </si>
  <si>
    <t xml:space="preserve">全家便利商店
全家新鮮視
 (全家電視)  </t>
    <phoneticPr fontId="5" type="noConversion"/>
  </si>
  <si>
    <t>新鮮視 萬家福/樂家康 專案</t>
    <phoneticPr fontId="5" type="noConversion"/>
  </si>
  <si>
    <t>北區-北北基</t>
    <phoneticPr fontId="4" type="noConversion"/>
  </si>
  <si>
    <t>06-24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</si>
</sst>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d"/>
    <numFmt numFmtId="177" formatCode="dd"/>
    <numFmt numFmtId="178" formatCode="[$-404]aaa;@"/>
    <numFmt numFmtId="179" formatCode="#,##0&quot;&quot;&quot;面&quot;&quot;&quot;"/>
    <numFmt numFmtId="180" formatCode="#,##0&quot;&quot;&quot;秒&quot;&quot;&quot;"/>
    <numFmt numFmtId="181" formatCode="_-* #,##0_-;\-* #,##0_-;_-* &quot;-&quot;??_-;_-@_-"/>
    <numFmt numFmtId="182" formatCode="#,##0&quot;&quot;&quot;店&quot;&quot;&quot;"/>
    <numFmt numFmtId="183" formatCode="#,##0;[Red]#,##0"/>
    <numFmt numFmtId="184" formatCode="#,##0_ "/>
  </numFmts>
  <fonts count="3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4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2"/>
      <name val="Century Gothic"/>
      <family val="2"/>
    </font>
    <font>
      <sz val="9"/>
      <name val="新細明體"/>
      <family val="1"/>
      <charset val="136"/>
    </font>
    <font>
      <b/>
      <sz val="2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Century Gothic"/>
      <family val="2"/>
    </font>
    <font>
      <b/>
      <sz val="26"/>
      <name val="微軟正黑體"/>
      <family val="2"/>
      <charset val="136"/>
    </font>
    <font>
      <sz val="26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26"/>
      <color theme="1"/>
      <name val="Century Gothic"/>
      <family val="2"/>
    </font>
    <font>
      <sz val="26"/>
      <color theme="1"/>
      <name val="Microsoft JhengHei"/>
      <family val="2"/>
      <charset val="136"/>
    </font>
    <font>
      <sz val="26"/>
      <name val="Century Gothic"/>
      <family val="2"/>
    </font>
    <font>
      <sz val="28"/>
      <name val="微軟正黑體"/>
      <family val="2"/>
      <charset val="136"/>
    </font>
    <font>
      <b/>
      <sz val="28"/>
      <name val="微軟正黑體"/>
      <family val="2"/>
      <charset val="136"/>
    </font>
    <font>
      <sz val="22"/>
      <color rgb="FF000099"/>
      <name val="微軟正黑體"/>
      <family val="2"/>
      <charset val="136"/>
    </font>
    <font>
      <b/>
      <sz val="22"/>
      <color rgb="FF000099"/>
      <name val="微軟正黑體"/>
      <family val="2"/>
      <charset val="136"/>
    </font>
    <font>
      <sz val="22"/>
      <color rgb="FF00009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38" fontId="6" fillId="2" borderId="0" xfId="1" applyNumberFormat="1" applyFont="1" applyFill="1">
      <alignment vertical="center"/>
    </xf>
    <xf numFmtId="38" fontId="7" fillId="2" borderId="1" xfId="1" applyNumberFormat="1" applyFont="1" applyFill="1" applyBorder="1" applyAlignment="1">
      <alignment horizontal="centerContinuous" vertical="center"/>
    </xf>
    <xf numFmtId="38" fontId="7" fillId="2" borderId="1" xfId="1" applyNumberFormat="1" applyFont="1" applyFill="1" applyBorder="1" applyAlignment="1">
      <alignment horizontal="center" vertical="top"/>
    </xf>
    <xf numFmtId="38" fontId="7" fillId="2" borderId="1" xfId="1" applyNumberFormat="1" applyFont="1" applyFill="1" applyBorder="1" applyAlignment="1">
      <alignment horizontal="centerContinuous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38" fontId="7" fillId="2" borderId="1" xfId="1" applyNumberFormat="1" applyFont="1" applyFill="1" applyBorder="1" applyAlignment="1">
      <alignment horizontal="center" vertical="center"/>
    </xf>
    <xf numFmtId="38" fontId="8" fillId="2" borderId="1" xfId="1" applyNumberFormat="1" applyFont="1" applyFill="1" applyBorder="1" applyAlignment="1">
      <alignment horizontal="center" vertical="center"/>
    </xf>
    <xf numFmtId="38" fontId="6" fillId="2" borderId="0" xfId="1" applyNumberFormat="1" applyFont="1" applyFill="1" applyAlignment="1">
      <alignment horizontal="center" vertical="center"/>
    </xf>
    <xf numFmtId="38" fontId="12" fillId="0" borderId="0" xfId="1" applyNumberFormat="1" applyFont="1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 wrapText="1"/>
    </xf>
    <xf numFmtId="38" fontId="14" fillId="2" borderId="0" xfId="1" applyNumberFormat="1" applyFont="1" applyFill="1">
      <alignment vertical="center"/>
    </xf>
    <xf numFmtId="38" fontId="15" fillId="2" borderId="0" xfId="1" applyNumberFormat="1" applyFont="1" applyFill="1">
      <alignment vertical="center"/>
    </xf>
    <xf numFmtId="0" fontId="16" fillId="0" borderId="19" xfId="2" applyFont="1" applyBorder="1" applyAlignment="1">
      <alignment horizontal="center" vertical="center" wrapText="1"/>
    </xf>
    <xf numFmtId="181" fontId="14" fillId="2" borderId="20" xfId="6" applyNumberFormat="1" applyFont="1" applyFill="1" applyBorder="1" applyAlignment="1">
      <alignment vertical="center"/>
    </xf>
    <xf numFmtId="0" fontId="16" fillId="0" borderId="22" xfId="2" applyFont="1" applyBorder="1" applyAlignment="1">
      <alignment horizontal="center" vertical="center" wrapText="1"/>
    </xf>
    <xf numFmtId="0" fontId="15" fillId="2" borderId="0" xfId="2" applyFont="1" applyFill="1">
      <alignment vertical="center"/>
    </xf>
    <xf numFmtId="181" fontId="14" fillId="2" borderId="40" xfId="6" applyNumberFormat="1" applyFont="1" applyFill="1" applyBorder="1" applyAlignment="1">
      <alignment vertical="center"/>
    </xf>
    <xf numFmtId="184" fontId="17" fillId="2" borderId="41" xfId="7" applyNumberFormat="1" applyFont="1" applyFill="1" applyBorder="1" applyAlignment="1">
      <alignment horizontal="left"/>
    </xf>
    <xf numFmtId="0" fontId="13" fillId="2" borderId="0" xfId="2" applyFont="1" applyFill="1">
      <alignment vertical="center"/>
    </xf>
    <xf numFmtId="181" fontId="14" fillId="2" borderId="44" xfId="6" applyNumberFormat="1" applyFont="1" applyFill="1" applyBorder="1" applyAlignment="1">
      <alignment vertical="center"/>
    </xf>
    <xf numFmtId="184" fontId="17" fillId="2" borderId="45" xfId="7" applyNumberFormat="1" applyFont="1" applyFill="1" applyBorder="1" applyAlignment="1">
      <alignment horizontal="left" vertical="center"/>
    </xf>
    <xf numFmtId="38" fontId="13" fillId="2" borderId="0" xfId="1" applyNumberFormat="1" applyFont="1" applyFill="1">
      <alignment vertical="center"/>
    </xf>
    <xf numFmtId="181" fontId="18" fillId="4" borderId="11" xfId="6" applyNumberFormat="1" applyFont="1" applyFill="1" applyBorder="1" applyAlignment="1">
      <alignment vertical="center" wrapText="1"/>
    </xf>
    <xf numFmtId="0" fontId="21" fillId="2" borderId="50" xfId="2" applyFont="1" applyFill="1" applyBorder="1" applyAlignment="1">
      <alignment horizontal="left" vertical="center" indent="2"/>
    </xf>
    <xf numFmtId="38" fontId="18" fillId="2" borderId="50" xfId="1" applyNumberFormat="1" applyFont="1" applyFill="1" applyBorder="1" applyAlignment="1">
      <alignment vertical="center" wrapText="1"/>
    </xf>
    <xf numFmtId="49" fontId="18" fillId="2" borderId="50" xfId="8" applyNumberFormat="1" applyFont="1" applyFill="1" applyBorder="1" applyAlignment="1">
      <alignment horizontal="center" vertical="center"/>
    </xf>
    <xf numFmtId="38" fontId="18" fillId="2" borderId="50" xfId="8" applyNumberFormat="1" applyFont="1" applyFill="1" applyBorder="1" applyAlignment="1">
      <alignment horizontal="center" vertical="center"/>
    </xf>
    <xf numFmtId="38" fontId="21" fillId="2" borderId="50" xfId="8" applyNumberFormat="1" applyFont="1" applyFill="1" applyBorder="1" applyAlignment="1">
      <alignment horizontal="center" vertical="center"/>
    </xf>
    <xf numFmtId="38" fontId="18" fillId="2" borderId="0" xfId="1" applyNumberFormat="1" applyFont="1" applyFill="1">
      <alignment vertical="center"/>
    </xf>
    <xf numFmtId="0" fontId="9" fillId="0" borderId="0" xfId="2">
      <alignment vertical="center"/>
    </xf>
    <xf numFmtId="0" fontId="22" fillId="0" borderId="0" xfId="2" applyFont="1">
      <alignment vertical="center"/>
    </xf>
    <xf numFmtId="0" fontId="16" fillId="0" borderId="4" xfId="2" applyFont="1" applyBorder="1" applyAlignment="1">
      <alignment horizontal="center" vertical="center" wrapText="1"/>
    </xf>
    <xf numFmtId="181" fontId="16" fillId="2" borderId="20" xfId="6" applyNumberFormat="1" applyFont="1" applyFill="1" applyBorder="1" applyAlignment="1">
      <alignment horizontal="center" vertical="center"/>
    </xf>
    <xf numFmtId="181" fontId="16" fillId="0" borderId="20" xfId="6" applyNumberFormat="1" applyFont="1" applyBorder="1" applyAlignment="1">
      <alignment horizontal="center" vertical="center"/>
    </xf>
    <xf numFmtId="38" fontId="15" fillId="2" borderId="0" xfId="1" applyNumberFormat="1" applyFont="1" applyFill="1" applyAlignment="1">
      <alignment horizontal="center" vertical="center"/>
    </xf>
    <xf numFmtId="38" fontId="16" fillId="2" borderId="0" xfId="1" applyNumberFormat="1" applyFont="1" applyFill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3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4" fillId="2" borderId="2" xfId="2" applyFont="1" applyFill="1" applyBorder="1" applyAlignment="1">
      <alignment horizontal="center" vertical="center"/>
    </xf>
    <xf numFmtId="38" fontId="23" fillId="2" borderId="0" xfId="1" applyNumberFormat="1" applyFont="1" applyFill="1" applyAlignment="1">
      <alignment horizontal="left" vertical="center"/>
    </xf>
    <xf numFmtId="38" fontId="24" fillId="2" borderId="0" xfId="1" applyNumberFormat="1" applyFont="1" applyFill="1" applyAlignment="1">
      <alignment vertical="center" wrapText="1"/>
    </xf>
    <xf numFmtId="38" fontId="24" fillId="2" borderId="0" xfId="1" applyNumberFormat="1" applyFont="1" applyFill="1" applyAlignment="1">
      <alignment horizontal="center" vertical="center"/>
    </xf>
    <xf numFmtId="38" fontId="2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vertical="center"/>
    </xf>
    <xf numFmtId="38" fontId="23" fillId="2" borderId="0" xfId="1" applyNumberFormat="1" applyFont="1" applyFill="1" applyAlignment="1">
      <alignment horizontal="right" vertical="center"/>
    </xf>
    <xf numFmtId="38" fontId="23" fillId="0" borderId="0" xfId="1" applyNumberFormat="1" applyFont="1" applyAlignment="1">
      <alignment horizontal="center" vertical="center"/>
    </xf>
    <xf numFmtId="38" fontId="24" fillId="0" borderId="0" xfId="1" applyNumberFormat="1" applyFont="1" applyAlignment="1">
      <alignment horizontal="center" vertical="center"/>
    </xf>
    <xf numFmtId="38" fontId="11" fillId="0" borderId="0" xfId="1" applyNumberFormat="1" applyFont="1" applyAlignment="1">
      <alignment horizontal="center" vertical="center"/>
    </xf>
    <xf numFmtId="176" fontId="7" fillId="2" borderId="7" xfId="2" applyNumberFormat="1" applyFont="1" applyFill="1" applyBorder="1" applyAlignment="1">
      <alignment horizontal="center" vertical="center"/>
    </xf>
    <xf numFmtId="178" fontId="7" fillId="0" borderId="13" xfId="4" applyNumberFormat="1" applyFont="1" applyBorder="1" applyAlignment="1">
      <alignment horizontal="center" vertical="center"/>
    </xf>
    <xf numFmtId="0" fontId="20" fillId="0" borderId="4" xfId="2" applyFont="1" applyBorder="1" applyAlignment="1">
      <alignment horizontal="center" vertical="center" wrapText="1"/>
    </xf>
    <xf numFmtId="179" fontId="20" fillId="0" borderId="4" xfId="2" applyNumberFormat="1" applyFont="1" applyBorder="1" applyAlignment="1">
      <alignment horizontal="center" vertical="center" wrapText="1"/>
    </xf>
    <xf numFmtId="38" fontId="20" fillId="2" borderId="4" xfId="1" applyNumberFormat="1" applyFont="1" applyFill="1" applyBorder="1" applyAlignment="1">
      <alignment horizontal="center" vertical="center" wrapText="1"/>
    </xf>
    <xf numFmtId="0" fontId="20" fillId="0" borderId="16" xfId="5" applyFont="1" applyBorder="1" applyAlignment="1">
      <alignment horizontal="center" vertical="center"/>
    </xf>
    <xf numFmtId="0" fontId="20" fillId="0" borderId="17" xfId="5" applyFont="1" applyBorder="1" applyAlignment="1">
      <alignment horizontal="center" vertical="center"/>
    </xf>
    <xf numFmtId="38" fontId="20" fillId="2" borderId="18" xfId="1" applyNumberFormat="1" applyFont="1" applyFill="1" applyBorder="1" applyAlignment="1">
      <alignment horizontal="center" vertical="center"/>
    </xf>
    <xf numFmtId="0" fontId="20" fillId="0" borderId="22" xfId="2" applyFont="1" applyBorder="1" applyAlignment="1">
      <alignment horizontal="center" vertical="center" wrapText="1"/>
    </xf>
    <xf numFmtId="179" fontId="20" fillId="0" borderId="22" xfId="2" applyNumberFormat="1" applyFont="1" applyBorder="1" applyAlignment="1">
      <alignment horizontal="center" vertical="center" wrapText="1"/>
    </xf>
    <xf numFmtId="38" fontId="20" fillId="2" borderId="22" xfId="1" applyNumberFormat="1" applyFont="1" applyFill="1" applyBorder="1" applyAlignment="1">
      <alignment horizontal="center" vertical="center" wrapText="1"/>
    </xf>
    <xf numFmtId="0" fontId="20" fillId="0" borderId="24" xfId="5" applyFont="1" applyBorder="1" applyAlignment="1">
      <alignment horizontal="center" vertical="center"/>
    </xf>
    <xf numFmtId="0" fontId="20" fillId="0" borderId="25" xfId="5" applyFont="1" applyBorder="1" applyAlignment="1">
      <alignment horizontal="center" vertical="center"/>
    </xf>
    <xf numFmtId="38" fontId="20" fillId="2" borderId="26" xfId="1" applyNumberFormat="1" applyFont="1" applyFill="1" applyBorder="1" applyAlignment="1">
      <alignment horizontal="center" vertical="center"/>
    </xf>
    <xf numFmtId="0" fontId="20" fillId="0" borderId="28" xfId="2" applyFont="1" applyBorder="1" applyAlignment="1">
      <alignment horizontal="center" vertical="center" wrapText="1"/>
    </xf>
    <xf numFmtId="182" fontId="20" fillId="0" borderId="28" xfId="2" applyNumberFormat="1" applyFont="1" applyBorder="1" applyAlignment="1">
      <alignment horizontal="center" vertical="center" wrapText="1"/>
    </xf>
    <xf numFmtId="38" fontId="20" fillId="2" borderId="28" xfId="1" applyNumberFormat="1" applyFont="1" applyFill="1" applyBorder="1" applyAlignment="1">
      <alignment horizontal="center" vertical="center" wrapText="1"/>
    </xf>
    <xf numFmtId="0" fontId="20" fillId="0" borderId="29" xfId="5" applyFont="1" applyBorder="1" applyAlignment="1">
      <alignment horizontal="center" vertical="center"/>
    </xf>
    <xf numFmtId="0" fontId="20" fillId="0" borderId="30" xfId="5" applyFont="1" applyBorder="1" applyAlignment="1">
      <alignment horizontal="center" vertical="center"/>
    </xf>
    <xf numFmtId="38" fontId="20" fillId="2" borderId="31" xfId="1" applyNumberFormat="1" applyFont="1" applyFill="1" applyBorder="1" applyAlignment="1">
      <alignment horizontal="center" vertical="center"/>
    </xf>
    <xf numFmtId="182" fontId="20" fillId="0" borderId="22" xfId="2" applyNumberFormat="1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182" fontId="20" fillId="0" borderId="10" xfId="2" applyNumberFormat="1" applyFont="1" applyBorder="1" applyAlignment="1">
      <alignment horizontal="center" vertical="center" wrapText="1"/>
    </xf>
    <xf numFmtId="38" fontId="20" fillId="2" borderId="10" xfId="1" applyNumberFormat="1" applyFont="1" applyFill="1" applyBorder="1" applyAlignment="1">
      <alignment horizontal="center" vertical="center" wrapText="1"/>
    </xf>
    <xf numFmtId="0" fontId="20" fillId="0" borderId="33" xfId="5" applyFont="1" applyBorder="1" applyAlignment="1">
      <alignment horizontal="center" vertical="center"/>
    </xf>
    <xf numFmtId="0" fontId="20" fillId="0" borderId="34" xfId="5" applyFont="1" applyBorder="1" applyAlignment="1">
      <alignment horizontal="center" vertical="center"/>
    </xf>
    <xf numFmtId="38" fontId="20" fillId="2" borderId="35" xfId="1" applyNumberFormat="1" applyFont="1" applyFill="1" applyBorder="1" applyAlignment="1">
      <alignment horizontal="center" vertical="center"/>
    </xf>
    <xf numFmtId="3" fontId="20" fillId="2" borderId="1" xfId="7" applyNumberFormat="1" applyFont="1" applyFill="1" applyBorder="1" applyAlignment="1">
      <alignment horizontal="center" vertical="center"/>
    </xf>
    <xf numFmtId="0" fontId="20" fillId="2" borderId="37" xfId="7" applyFont="1" applyFill="1" applyBorder="1" applyAlignment="1">
      <alignment horizontal="center" vertical="center"/>
    </xf>
    <xf numFmtId="0" fontId="20" fillId="2" borderId="38" xfId="7" applyFont="1" applyFill="1" applyBorder="1" applyAlignment="1">
      <alignment horizontal="center" vertical="center"/>
    </xf>
    <xf numFmtId="183" fontId="20" fillId="2" borderId="38" xfId="7" applyNumberFormat="1" applyFont="1" applyFill="1" applyBorder="1" applyAlignment="1">
      <alignment horizontal="center" vertical="center" wrapText="1"/>
    </xf>
    <xf numFmtId="183" fontId="19" fillId="2" borderId="39" xfId="7" applyNumberFormat="1" applyFont="1" applyFill="1" applyBorder="1" applyAlignment="1">
      <alignment horizontal="center" vertical="center" wrapText="1"/>
    </xf>
    <xf numFmtId="38" fontId="20" fillId="0" borderId="38" xfId="7" applyNumberFormat="1" applyFont="1" applyBorder="1" applyAlignment="1">
      <alignment horizontal="center" vertical="center" wrapText="1"/>
    </xf>
    <xf numFmtId="38" fontId="20" fillId="0" borderId="14" xfId="7" applyNumberFormat="1" applyFont="1" applyBorder="1" applyAlignment="1">
      <alignment horizontal="center" vertical="center" wrapText="1"/>
    </xf>
    <xf numFmtId="0" fontId="20" fillId="2" borderId="2" xfId="7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left" vertical="center"/>
    </xf>
    <xf numFmtId="0" fontId="20" fillId="0" borderId="41" xfId="2" applyFont="1" applyBorder="1" applyAlignment="1">
      <alignment horizontal="center" vertical="center"/>
    </xf>
    <xf numFmtId="183" fontId="19" fillId="2" borderId="42" xfId="7" applyNumberFormat="1" applyFont="1" applyFill="1" applyBorder="1" applyAlignment="1">
      <alignment horizontal="center" vertical="center" wrapText="1"/>
    </xf>
    <xf numFmtId="183" fontId="20" fillId="2" borderId="0" xfId="7" applyNumberFormat="1" applyFont="1" applyFill="1" applyAlignment="1">
      <alignment vertical="center" wrapText="1"/>
    </xf>
    <xf numFmtId="183" fontId="20" fillId="2" borderId="43" xfId="7" applyNumberFormat="1" applyFont="1" applyFill="1" applyBorder="1" applyAlignment="1">
      <alignment vertical="center" wrapText="1"/>
    </xf>
    <xf numFmtId="0" fontId="20" fillId="2" borderId="0" xfId="7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0" fontId="20" fillId="0" borderId="46" xfId="2" applyFont="1" applyBorder="1" applyAlignment="1">
      <alignment horizontal="center" vertical="center"/>
    </xf>
    <xf numFmtId="183" fontId="19" fillId="2" borderId="47" xfId="7" applyNumberFormat="1" applyFont="1" applyFill="1" applyBorder="1" applyAlignment="1">
      <alignment horizontal="center" vertical="center" wrapText="1"/>
    </xf>
    <xf numFmtId="184" fontId="20" fillId="2" borderId="36" xfId="7" applyNumberFormat="1" applyFont="1" applyFill="1" applyBorder="1" applyAlignment="1">
      <alignment horizontal="left" vertical="top"/>
    </xf>
    <xf numFmtId="38" fontId="20" fillId="2" borderId="1" xfId="1" applyNumberFormat="1" applyFont="1" applyFill="1" applyBorder="1" applyAlignment="1">
      <alignment vertical="center" wrapText="1"/>
    </xf>
    <xf numFmtId="49" fontId="20" fillId="2" borderId="1" xfId="8" applyNumberFormat="1" applyFont="1" applyFill="1" applyBorder="1" applyAlignment="1">
      <alignment horizontal="center" vertical="center"/>
    </xf>
    <xf numFmtId="0" fontId="20" fillId="0" borderId="48" xfId="2" applyFont="1" applyBorder="1" applyAlignment="1">
      <alignment horizontal="center" vertical="center"/>
    </xf>
    <xf numFmtId="38" fontId="19" fillId="2" borderId="49" xfId="8" applyNumberFormat="1" applyFont="1" applyFill="1" applyBorder="1" applyAlignment="1">
      <alignment horizontal="center" vertical="center"/>
    </xf>
    <xf numFmtId="183" fontId="20" fillId="2" borderId="1" xfId="7" applyNumberFormat="1" applyFont="1" applyFill="1" applyBorder="1" applyAlignment="1">
      <alignment vertical="center" wrapText="1"/>
    </xf>
    <xf numFmtId="183" fontId="20" fillId="2" borderId="49" xfId="7" applyNumberFormat="1" applyFont="1" applyFill="1" applyBorder="1" applyAlignment="1">
      <alignment vertical="center" wrapText="1"/>
    </xf>
    <xf numFmtId="38" fontId="25" fillId="2" borderId="0" xfId="1" applyNumberFormat="1" applyFont="1" applyFill="1">
      <alignment vertical="center"/>
    </xf>
    <xf numFmtId="38" fontId="25" fillId="2" borderId="0" xfId="1" applyNumberFormat="1" applyFont="1" applyFill="1" applyAlignment="1">
      <alignment vertical="center" wrapText="1"/>
    </xf>
    <xf numFmtId="49" fontId="25" fillId="2" borderId="0" xfId="8" applyNumberFormat="1" applyFont="1" applyFill="1" applyAlignment="1">
      <alignment horizontal="center" vertical="center"/>
    </xf>
    <xf numFmtId="0" fontId="26" fillId="0" borderId="0" xfId="2" applyFont="1" applyAlignment="1">
      <alignment horizontal="right" vertical="center"/>
    </xf>
    <xf numFmtId="38" fontId="25" fillId="0" borderId="0" xfId="8" applyNumberFormat="1" applyFont="1" applyAlignment="1">
      <alignment horizontal="center" vertical="center"/>
    </xf>
    <xf numFmtId="0" fontId="27" fillId="2" borderId="0" xfId="2" applyFont="1" applyFill="1" applyAlignment="1">
      <alignment horizontal="left" vertical="center" indent="2"/>
    </xf>
    <xf numFmtId="38" fontId="26" fillId="2" borderId="0" xfId="8" applyNumberFormat="1" applyFont="1" applyFill="1" applyAlignment="1">
      <alignment horizontal="right" vertical="center"/>
    </xf>
    <xf numFmtId="0" fontId="28" fillId="0" borderId="0" xfId="2" applyFont="1">
      <alignment vertical="center"/>
    </xf>
    <xf numFmtId="38" fontId="26" fillId="2" borderId="0" xfId="1" applyNumberFormat="1" applyFont="1" applyFill="1" applyAlignment="1">
      <alignment horizontal="center" vertical="center"/>
    </xf>
    <xf numFmtId="38" fontId="26" fillId="2" borderId="0" xfId="1" applyNumberFormat="1" applyFont="1" applyFill="1">
      <alignment vertical="center"/>
    </xf>
    <xf numFmtId="0" fontId="25" fillId="2" borderId="0" xfId="2" applyFont="1" applyFill="1" applyAlignment="1">
      <alignment horizontal="left" vertical="center" indent="2"/>
    </xf>
    <xf numFmtId="38" fontId="25" fillId="2" borderId="0" xfId="8" applyNumberFormat="1" applyFont="1" applyFill="1" applyAlignment="1">
      <alignment horizontal="center" vertical="center"/>
    </xf>
    <xf numFmtId="38" fontId="26" fillId="2" borderId="0" xfId="8" applyNumberFormat="1" applyFont="1" applyFill="1" applyAlignment="1">
      <alignment vertical="center"/>
    </xf>
    <xf numFmtId="38" fontId="25" fillId="2" borderId="0" xfId="8" applyNumberFormat="1" applyFont="1" applyFill="1" applyAlignment="1">
      <alignment horizontal="right" vertical="center"/>
    </xf>
    <xf numFmtId="38" fontId="26" fillId="2" borderId="0" xfId="8" applyNumberFormat="1" applyFont="1" applyFill="1" applyAlignment="1">
      <alignment horizontal="center" vertical="center"/>
    </xf>
    <xf numFmtId="38" fontId="25" fillId="2" borderId="0" xfId="8" applyNumberFormat="1" applyFont="1" applyFill="1" applyAlignment="1">
      <alignment vertical="center"/>
    </xf>
    <xf numFmtId="183" fontId="25" fillId="2" borderId="0" xfId="7" applyNumberFormat="1" applyFont="1" applyFill="1" applyAlignment="1">
      <alignment horizontal="right" vertical="center" wrapText="1"/>
    </xf>
    <xf numFmtId="38" fontId="26" fillId="2" borderId="0" xfId="1" applyNumberFormat="1" applyFont="1" applyFill="1" applyAlignment="1">
      <alignment vertical="center" wrapText="1"/>
    </xf>
    <xf numFmtId="49" fontId="26" fillId="2" borderId="0" xfId="8" applyNumberFormat="1" applyFont="1" applyFill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0" xfId="9" applyFont="1" applyAlignment="1">
      <alignment vertical="center" wrapText="1"/>
    </xf>
    <xf numFmtId="0" fontId="29" fillId="0" borderId="0" xfId="9" applyFont="1">
      <alignment vertical="center"/>
    </xf>
    <xf numFmtId="0" fontId="30" fillId="0" borderId="0" xfId="2" applyFont="1">
      <alignment vertical="center"/>
    </xf>
    <xf numFmtId="0" fontId="23" fillId="2" borderId="0" xfId="2" applyFont="1" applyFill="1">
      <alignment vertical="center"/>
    </xf>
    <xf numFmtId="0" fontId="24" fillId="2" borderId="0" xfId="2" applyFont="1" applyFill="1">
      <alignment vertical="center"/>
    </xf>
    <xf numFmtId="38" fontId="24" fillId="2" borderId="0" xfId="1" applyNumberFormat="1" applyFont="1" applyFill="1">
      <alignment vertical="center"/>
    </xf>
    <xf numFmtId="49" fontId="20" fillId="0" borderId="4" xfId="1" quotePrefix="1" applyNumberFormat="1" applyFont="1" applyBorder="1" applyAlignment="1">
      <alignment horizontal="center" vertical="center"/>
    </xf>
    <xf numFmtId="0" fontId="31" fillId="2" borderId="0" xfId="2" applyFont="1" applyFill="1">
      <alignment vertical="center"/>
    </xf>
    <xf numFmtId="38" fontId="31" fillId="2" borderId="0" xfId="1" applyNumberFormat="1" applyFont="1" applyFill="1">
      <alignment vertical="center"/>
    </xf>
    <xf numFmtId="38" fontId="32" fillId="0" borderId="0" xfId="1" applyNumberFormat="1" applyFont="1">
      <alignment vertical="center"/>
    </xf>
    <xf numFmtId="49" fontId="20" fillId="0" borderId="22" xfId="1" quotePrefix="1" applyNumberFormat="1" applyFont="1" applyBorder="1" applyAlignment="1">
      <alignment horizontal="center" vertical="center"/>
    </xf>
    <xf numFmtId="38" fontId="33" fillId="2" borderId="0" xfId="1" applyNumberFormat="1" applyFont="1" applyFill="1" applyAlignment="1">
      <alignment horizontal="center" vertical="center"/>
    </xf>
    <xf numFmtId="0" fontId="33" fillId="2" borderId="0" xfId="2" applyFont="1" applyFill="1" applyAlignment="1">
      <alignment horizontal="center" vertical="center"/>
    </xf>
    <xf numFmtId="10" fontId="34" fillId="0" borderId="0" xfId="10" applyNumberFormat="1" applyFont="1" applyAlignment="1">
      <alignment horizontal="center" vertical="center"/>
    </xf>
    <xf numFmtId="38" fontId="34" fillId="2" borderId="0" xfId="1" applyNumberFormat="1" applyFont="1" applyFill="1" applyAlignment="1">
      <alignment horizontal="center" vertical="center"/>
    </xf>
    <xf numFmtId="38" fontId="34" fillId="2" borderId="0" xfId="2" applyNumberFormat="1" applyFont="1" applyFill="1" applyAlignment="1">
      <alignment horizontal="center" vertical="center"/>
    </xf>
    <xf numFmtId="0" fontId="34" fillId="2" borderId="0" xfId="2" applyFont="1" applyFill="1" applyAlignment="1">
      <alignment horizontal="center" vertical="center"/>
    </xf>
    <xf numFmtId="0" fontId="35" fillId="0" borderId="0" xfId="2" applyFont="1" applyAlignment="1">
      <alignment horizontal="center" vertical="center"/>
    </xf>
    <xf numFmtId="40" fontId="33" fillId="2" borderId="0" xfId="1" applyNumberFormat="1" applyFont="1" applyFill="1" applyAlignment="1">
      <alignment horizontal="center" vertical="center"/>
    </xf>
    <xf numFmtId="40" fontId="34" fillId="0" borderId="0" xfId="1" applyNumberFormat="1" applyFont="1" applyAlignment="1">
      <alignment horizontal="center" vertical="center"/>
    </xf>
    <xf numFmtId="38" fontId="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horizontal="center" vertical="center"/>
    </xf>
    <xf numFmtId="38" fontId="8" fillId="0" borderId="3" xfId="1" applyNumberFormat="1" applyFont="1" applyBorder="1" applyAlignment="1">
      <alignment horizontal="center" vertical="center"/>
    </xf>
    <xf numFmtId="38" fontId="8" fillId="0" borderId="9" xfId="1" applyNumberFormat="1" applyFont="1" applyBorder="1" applyAlignment="1">
      <alignment horizontal="center" vertical="center"/>
    </xf>
    <xf numFmtId="38" fontId="8" fillId="0" borderId="4" xfId="1" applyNumberFormat="1" applyFont="1" applyBorder="1" applyAlignment="1">
      <alignment horizontal="center" vertical="center"/>
    </xf>
    <xf numFmtId="38" fontId="8" fillId="0" borderId="10" xfId="1" applyNumberFormat="1" applyFont="1" applyBorder="1" applyAlignment="1">
      <alignment horizontal="center" vertical="center"/>
    </xf>
    <xf numFmtId="38" fontId="8" fillId="0" borderId="5" xfId="1" applyNumberFormat="1" applyFont="1" applyBorder="1" applyAlignment="1">
      <alignment horizontal="center" vertical="center" wrapText="1"/>
    </xf>
    <xf numFmtId="38" fontId="8" fillId="0" borderId="11" xfId="1" applyNumberFormat="1" applyFont="1" applyBorder="1" applyAlignment="1">
      <alignment horizontal="center" vertical="center" wrapText="1"/>
    </xf>
    <xf numFmtId="38" fontId="8" fillId="0" borderId="4" xfId="1" applyNumberFormat="1" applyFont="1" applyBorder="1" applyAlignment="1">
      <alignment horizontal="center" vertical="center" wrapText="1"/>
    </xf>
    <xf numFmtId="38" fontId="8" fillId="0" borderId="10" xfId="1" applyNumberFormat="1" applyFont="1" applyBorder="1" applyAlignment="1">
      <alignment horizontal="center" vertical="center" wrapText="1"/>
    </xf>
    <xf numFmtId="38" fontId="7" fillId="0" borderId="6" xfId="1" applyNumberFormat="1" applyFont="1" applyBorder="1" applyAlignment="1">
      <alignment horizontal="center" vertical="center" wrapText="1"/>
    </xf>
    <xf numFmtId="38" fontId="7" fillId="0" borderId="12" xfId="1" applyNumberFormat="1" applyFont="1" applyBorder="1" applyAlignment="1">
      <alignment horizontal="center" vertical="center" wrapText="1"/>
    </xf>
    <xf numFmtId="177" fontId="8" fillId="0" borderId="8" xfId="1" applyNumberFormat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center" vertical="center"/>
    </xf>
    <xf numFmtId="0" fontId="20" fillId="0" borderId="54" xfId="2" applyFont="1" applyBorder="1" applyAlignment="1">
      <alignment horizontal="center" vertical="center" wrapText="1"/>
    </xf>
    <xf numFmtId="0" fontId="20" fillId="0" borderId="55" xfId="2" applyFont="1" applyBorder="1" applyAlignment="1">
      <alignment horizontal="center" vertical="center" wrapText="1"/>
    </xf>
    <xf numFmtId="180" fontId="20" fillId="0" borderId="4" xfId="1" applyNumberFormat="1" applyFont="1" applyBorder="1" applyAlignment="1">
      <alignment horizontal="center" vertical="center"/>
    </xf>
    <xf numFmtId="180" fontId="20" fillId="0" borderId="22" xfId="1" applyNumberFormat="1" applyFont="1" applyBorder="1" applyAlignment="1">
      <alignment horizontal="center" vertical="center"/>
    </xf>
    <xf numFmtId="38" fontId="19" fillId="2" borderId="15" xfId="1" applyNumberFormat="1" applyFont="1" applyFill="1" applyBorder="1" applyAlignment="1">
      <alignment horizontal="center" vertical="center" wrapText="1"/>
    </xf>
    <xf numFmtId="38" fontId="19" fillId="2" borderId="23" xfId="1" applyNumberFormat="1" applyFont="1" applyFill="1" applyBorder="1" applyAlignment="1">
      <alignment horizontal="center" vertical="center" wrapText="1"/>
    </xf>
    <xf numFmtId="38" fontId="19" fillId="2" borderId="32" xfId="1" applyNumberFormat="1" applyFont="1" applyFill="1" applyBorder="1" applyAlignment="1">
      <alignment horizontal="center" vertical="center" wrapText="1"/>
    </xf>
    <xf numFmtId="0" fontId="20" fillId="0" borderId="27" xfId="2" applyFont="1" applyBorder="1" applyAlignment="1">
      <alignment horizontal="center" vertical="center" wrapText="1"/>
    </xf>
    <xf numFmtId="0" fontId="20" fillId="0" borderId="21" xfId="2" applyFont="1" applyBorder="1" applyAlignment="1">
      <alignment horizontal="center" vertical="center" wrapText="1"/>
    </xf>
    <xf numFmtId="0" fontId="20" fillId="0" borderId="52" xfId="2" applyFont="1" applyBorder="1" applyAlignment="1">
      <alignment horizontal="center" vertical="center" wrapText="1"/>
    </xf>
    <xf numFmtId="0" fontId="20" fillId="0" borderId="9" xfId="2" applyFont="1" applyBorder="1" applyAlignment="1">
      <alignment horizontal="center" vertical="center" wrapText="1"/>
    </xf>
    <xf numFmtId="49" fontId="20" fillId="0" borderId="28" xfId="1" applyNumberFormat="1" applyFont="1" applyBorder="1" applyAlignment="1">
      <alignment horizontal="center" vertical="center"/>
    </xf>
    <xf numFmtId="49" fontId="20" fillId="0" borderId="22" xfId="1" applyNumberFormat="1" applyFont="1" applyBorder="1" applyAlignment="1">
      <alignment horizontal="center" vertical="center"/>
    </xf>
    <xf numFmtId="49" fontId="20" fillId="0" borderId="53" xfId="1" applyNumberFormat="1" applyFont="1" applyBorder="1" applyAlignment="1">
      <alignment horizontal="center" vertical="center"/>
    </xf>
    <xf numFmtId="49" fontId="20" fillId="0" borderId="10" xfId="1" applyNumberFormat="1" applyFont="1" applyBorder="1" applyAlignment="1">
      <alignment horizontal="center" vertical="center"/>
    </xf>
    <xf numFmtId="180" fontId="20" fillId="0" borderId="28" xfId="1" applyNumberFormat="1" applyFont="1" applyBorder="1" applyAlignment="1">
      <alignment horizontal="center" vertical="center"/>
    </xf>
    <xf numFmtId="180" fontId="20" fillId="0" borderId="53" xfId="1" applyNumberFormat="1" applyFont="1" applyBorder="1" applyAlignment="1">
      <alignment horizontal="center" vertical="center"/>
    </xf>
    <xf numFmtId="180" fontId="20" fillId="0" borderId="10" xfId="1" applyNumberFormat="1" applyFont="1" applyBorder="1" applyAlignment="1">
      <alignment horizontal="center" vertical="center"/>
    </xf>
    <xf numFmtId="0" fontId="29" fillId="0" borderId="0" xfId="9" applyFont="1" applyAlignment="1">
      <alignment horizontal="left" vertical="center" wrapText="1"/>
    </xf>
    <xf numFmtId="0" fontId="29" fillId="0" borderId="0" xfId="9" applyFont="1" applyAlignment="1">
      <alignment horizontal="left" vertical="center"/>
    </xf>
    <xf numFmtId="0" fontId="20" fillId="2" borderId="36" xfId="7" applyFont="1" applyFill="1" applyBorder="1" applyAlignment="1">
      <alignment horizontal="center" vertical="center"/>
    </xf>
    <xf numFmtId="0" fontId="20" fillId="2" borderId="1" xfId="7" applyFont="1" applyFill="1" applyBorder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51" xfId="9" applyFont="1" applyBorder="1" applyAlignment="1">
      <alignment horizontal="left" vertical="center" wrapText="1"/>
    </xf>
    <xf numFmtId="0" fontId="29" fillId="0" borderId="51" xfId="9" applyFont="1" applyBorder="1" applyAlignment="1">
      <alignment horizontal="center" vertical="center" wrapText="1"/>
    </xf>
    <xf numFmtId="49" fontId="20" fillId="0" borderId="28" xfId="1" quotePrefix="1" applyNumberFormat="1" applyFont="1" applyBorder="1" applyAlignment="1">
      <alignment horizontal="center" vertical="center"/>
    </xf>
  </cellXfs>
  <cellStyles count="11">
    <cellStyle name="一般" xfId="0" builtinId="0"/>
    <cellStyle name="一般 2" xfId="2" xr:uid="{8AABE3C2-F2FC-43C6-8518-E9E1C8A19391}"/>
    <cellStyle name="一般 3_FY09 Debit Education and Channel Promotion-Radio" xfId="1" xr:uid="{4AD2F9A8-AE9A-47D3-9156-4D582F13D9F8}"/>
    <cellStyle name="一般 4" xfId="9" xr:uid="{83F1AAA2-4E76-49BE-A0FF-76835B35A0B8}"/>
    <cellStyle name="一般_8803-05RD_TOYOTA2005.06_TOYOTA2006.04" xfId="4" xr:uid="{D97908F6-D595-443B-A7A9-5283C6ED28B4}"/>
    <cellStyle name="一般_ballatine's RD CUE_Visa 2008 debit全國加油站-20秒-OUT(1117)-IR_FY09 Debit Education and Channel Promotion-Radio" xfId="8" xr:uid="{18EFDD20-EECA-4AB9-B665-110C0B76B5B4}"/>
    <cellStyle name="一般_ballatine's RD CUE_渣打 1215-0101(1124)" xfId="7" xr:uid="{FDAB049D-E960-4C88-95BE-5E86B517B00B}"/>
    <cellStyle name="一般_ICBC-新卡上市930701sales_980519 昇恒昌季約150萬成本版_0616-0719-山頂鳥_1000531 山頂鳥80萬成本版" xfId="5" xr:uid="{976B0A4B-82AF-4304-9C2D-72494EB65FB6}"/>
    <cellStyle name="千分位 2" xfId="6" xr:uid="{AECA83B9-8D17-478B-86BF-7E4C4BDCD568}"/>
    <cellStyle name="百分比" xfId="10" builtinId="5"/>
    <cellStyle name="百分比 3" xfId="3" xr:uid="{07683C72-4272-471E-A96F-C4DF05C74F9A}"/>
  </cellStyles>
  <dxfs count="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" TargetMode="External"/><Relationship Id="rId2" Type="http://schemas.microsoft.com/office/2019/04/relationships/externalLinkLongPath" Target="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?4AE9043D" TargetMode="External"/><Relationship Id="rId1" Type="http://schemas.openxmlformats.org/officeDocument/2006/relationships/externalLinkPath" Target="file:///\\4AE9043D\1000310%20&#20116;&#31119;&#22283;&#38555;&#26053;&#34892;&#31038;&#24180;&#32004;&#25104;&#26412;&#29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3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80C8-EB29-43DD-BD85-DD5A5ACE8BC7}">
  <sheetPr>
    <tabColor rgb="FFFFFF00"/>
    <pageSetUpPr fitToPage="1"/>
  </sheetPr>
  <dimension ref="A1:AB32"/>
  <sheetViews>
    <sheetView showGridLines="0" tabSelected="1" view="pageBreakPreview" zoomScale="35" zoomScaleNormal="60" zoomScaleSheetLayoutView="35" zoomScalePageLayoutView="75" workbookViewId="0">
      <selection activeCell="D17" sqref="D17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63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1.65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3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45</v>
      </c>
      <c r="B9" s="54" t="s">
        <v>46</v>
      </c>
      <c r="C9" s="55" t="s">
        <v>48</v>
      </c>
      <c r="D9" s="129" t="s">
        <v>37</v>
      </c>
      <c r="E9" s="159" t="str">
        <f>B4</f>
        <v>30秒</v>
      </c>
      <c r="F9" s="56">
        <f>300000/420*V9*W6</f>
        <v>99000</v>
      </c>
      <c r="G9" s="161">
        <v>200000</v>
      </c>
      <c r="H9" s="57">
        <v>6</v>
      </c>
      <c r="I9" s="58">
        <f t="shared" ref="I9:U11" si="1">H9</f>
        <v>6</v>
      </c>
      <c r="J9" s="58">
        <f>I9</f>
        <v>6</v>
      </c>
      <c r="K9" s="58">
        <f t="shared" si="1"/>
        <v>6</v>
      </c>
      <c r="L9" s="58">
        <f>K9</f>
        <v>6</v>
      </c>
      <c r="M9" s="58">
        <f t="shared" si="1"/>
        <v>6</v>
      </c>
      <c r="N9" s="58">
        <f>M9</f>
        <v>6</v>
      </c>
      <c r="O9" s="58">
        <f>N9</f>
        <v>6</v>
      </c>
      <c r="P9" s="58">
        <f>O9</f>
        <v>6</v>
      </c>
      <c r="Q9" s="58">
        <f>P9</f>
        <v>6</v>
      </c>
      <c r="R9" s="58">
        <f>Q9</f>
        <v>6</v>
      </c>
      <c r="S9" s="58">
        <f>P9</f>
        <v>6</v>
      </c>
      <c r="T9" s="58">
        <f t="shared" si="1"/>
        <v>6</v>
      </c>
      <c r="U9" s="58">
        <f t="shared" si="1"/>
        <v>6</v>
      </c>
      <c r="V9" s="59">
        <f t="shared" ref="V9:V16" si="2">SUM(H9:U9)</f>
        <v>84</v>
      </c>
      <c r="W9" s="137">
        <f>250000/420*W6*V9</f>
        <v>82499.999999999985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47</v>
      </c>
      <c r="C10" s="61" t="s">
        <v>49</v>
      </c>
      <c r="D10" s="133" t="s">
        <v>38</v>
      </c>
      <c r="E10" s="160"/>
      <c r="F10" s="62" t="s">
        <v>39</v>
      </c>
      <c r="G10" s="162"/>
      <c r="H10" s="63">
        <v>11</v>
      </c>
      <c r="I10" s="64">
        <f>H10</f>
        <v>11</v>
      </c>
      <c r="J10" s="64">
        <f>I10</f>
        <v>11</v>
      </c>
      <c r="K10" s="64">
        <f t="shared" si="1"/>
        <v>11</v>
      </c>
      <c r="L10" s="64">
        <v>10</v>
      </c>
      <c r="M10" s="64">
        <f t="shared" si="1"/>
        <v>10</v>
      </c>
      <c r="N10" s="64">
        <f>M10</f>
        <v>10</v>
      </c>
      <c r="O10" s="64">
        <f t="shared" si="1"/>
        <v>10</v>
      </c>
      <c r="P10" s="64">
        <f t="shared" ref="P10:R11" si="3">O10</f>
        <v>10</v>
      </c>
      <c r="Q10" s="64">
        <f t="shared" si="3"/>
        <v>10</v>
      </c>
      <c r="R10" s="64">
        <f t="shared" si="3"/>
        <v>10</v>
      </c>
      <c r="S10" s="64">
        <f t="shared" ref="S10" si="4">P10</f>
        <v>10</v>
      </c>
      <c r="T10" s="64">
        <f t="shared" si="1"/>
        <v>10</v>
      </c>
      <c r="U10" s="64">
        <f>T10</f>
        <v>10</v>
      </c>
      <c r="V10" s="65">
        <f t="shared" si="2"/>
        <v>144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64</v>
      </c>
      <c r="B11" s="66" t="s">
        <v>66</v>
      </c>
      <c r="C11" s="67">
        <v>1209</v>
      </c>
      <c r="D11" s="182" t="s">
        <v>67</v>
      </c>
      <c r="E11" s="172" t="str">
        <f>B4</f>
        <v>30秒</v>
      </c>
      <c r="F11" s="68">
        <f>150000/1008*V11*W7</f>
        <v>73214.28571428571</v>
      </c>
      <c r="G11" s="162"/>
      <c r="H11" s="69">
        <v>12</v>
      </c>
      <c r="I11" s="70">
        <f>H11</f>
        <v>12</v>
      </c>
      <c r="J11" s="70">
        <f t="shared" si="1"/>
        <v>12</v>
      </c>
      <c r="K11" s="70">
        <f t="shared" si="1"/>
        <v>12</v>
      </c>
      <c r="L11" s="70">
        <f t="shared" si="1"/>
        <v>12</v>
      </c>
      <c r="M11" s="70">
        <f t="shared" si="1"/>
        <v>12</v>
      </c>
      <c r="N11" s="70">
        <f t="shared" si="1"/>
        <v>12</v>
      </c>
      <c r="O11" s="70">
        <v>12</v>
      </c>
      <c r="P11" s="70">
        <v>12</v>
      </c>
      <c r="Q11" s="70">
        <f t="shared" si="3"/>
        <v>12</v>
      </c>
      <c r="R11" s="70">
        <v>11</v>
      </c>
      <c r="S11" s="70">
        <f>R11</f>
        <v>11</v>
      </c>
      <c r="T11" s="70">
        <f t="shared" si="1"/>
        <v>11</v>
      </c>
      <c r="U11" s="70">
        <f t="shared" si="1"/>
        <v>11</v>
      </c>
      <c r="V11" s="71">
        <f t="shared" si="2"/>
        <v>164</v>
      </c>
      <c r="W11" s="137">
        <f>120000/504*W7*V11</f>
        <v>117142.85714285714</v>
      </c>
      <c r="X11" s="33" t="s">
        <v>25</v>
      </c>
      <c r="Y11" s="34">
        <f t="shared" ref="Y11:Y16" si="5">V11*C11</f>
        <v>198276</v>
      </c>
      <c r="Z11" s="35">
        <f t="shared" ref="Z11:Z16" si="6">1000*(C11/24/6)*V11</f>
        <v>1376916.6666666667</v>
      </c>
    </row>
    <row r="12" spans="1:28" s="13" customFormat="1" ht="54" customHeight="1" thickBot="1">
      <c r="A12" s="165"/>
      <c r="B12" s="60" t="s">
        <v>26</v>
      </c>
      <c r="C12" s="72">
        <v>660</v>
      </c>
      <c r="D12" s="169"/>
      <c r="E12" s="160"/>
      <c r="F12" s="62">
        <f>120000/1008*V11*W7</f>
        <v>58571.428571428565</v>
      </c>
      <c r="G12" s="162"/>
      <c r="H12" s="63">
        <f>H11</f>
        <v>12</v>
      </c>
      <c r="I12" s="64">
        <f>I11</f>
        <v>12</v>
      </c>
      <c r="J12" s="64">
        <f t="shared" ref="J12:U12" si="7">J11</f>
        <v>12</v>
      </c>
      <c r="K12" s="64">
        <f t="shared" si="7"/>
        <v>12</v>
      </c>
      <c r="L12" s="64">
        <f t="shared" si="7"/>
        <v>12</v>
      </c>
      <c r="M12" s="64">
        <f t="shared" si="7"/>
        <v>12</v>
      </c>
      <c r="N12" s="64">
        <f t="shared" si="7"/>
        <v>12</v>
      </c>
      <c r="O12" s="64">
        <f t="shared" si="7"/>
        <v>12</v>
      </c>
      <c r="P12" s="64">
        <f t="shared" si="7"/>
        <v>12</v>
      </c>
      <c r="Q12" s="64">
        <f>Q11</f>
        <v>12</v>
      </c>
      <c r="R12" s="64">
        <f>R11</f>
        <v>11</v>
      </c>
      <c r="S12" s="64">
        <f t="shared" si="7"/>
        <v>11</v>
      </c>
      <c r="T12" s="64">
        <f t="shared" si="7"/>
        <v>11</v>
      </c>
      <c r="U12" s="64">
        <f t="shared" si="7"/>
        <v>11</v>
      </c>
      <c r="V12" s="65">
        <f t="shared" si="2"/>
        <v>164</v>
      </c>
      <c r="W12" s="137"/>
      <c r="X12" s="33" t="s">
        <v>25</v>
      </c>
      <c r="Y12" s="34">
        <f t="shared" si="5"/>
        <v>108240</v>
      </c>
      <c r="Z12" s="35">
        <f t="shared" si="6"/>
        <v>751666.66666666663</v>
      </c>
    </row>
    <row r="13" spans="1:28" s="13" customFormat="1" ht="54" customHeight="1" thickBot="1">
      <c r="A13" s="165"/>
      <c r="B13" s="60" t="s">
        <v>41</v>
      </c>
      <c r="C13" s="72">
        <v>579</v>
      </c>
      <c r="D13" s="169"/>
      <c r="E13" s="160"/>
      <c r="F13" s="62">
        <f>90000/1008*V13*W7</f>
        <v>43928.571428571428</v>
      </c>
      <c r="G13" s="162"/>
      <c r="H13" s="63">
        <f>H11</f>
        <v>12</v>
      </c>
      <c r="I13" s="64">
        <f>I11</f>
        <v>12</v>
      </c>
      <c r="J13" s="64">
        <f t="shared" ref="J13:U13" si="8">J11</f>
        <v>12</v>
      </c>
      <c r="K13" s="64">
        <f t="shared" si="8"/>
        <v>12</v>
      </c>
      <c r="L13" s="64">
        <f t="shared" si="8"/>
        <v>12</v>
      </c>
      <c r="M13" s="64">
        <f t="shared" si="8"/>
        <v>12</v>
      </c>
      <c r="N13" s="64">
        <f t="shared" si="8"/>
        <v>12</v>
      </c>
      <c r="O13" s="64">
        <f t="shared" si="8"/>
        <v>12</v>
      </c>
      <c r="P13" s="64">
        <f t="shared" si="8"/>
        <v>12</v>
      </c>
      <c r="Q13" s="64">
        <f>Q11</f>
        <v>12</v>
      </c>
      <c r="R13" s="64">
        <f>R11</f>
        <v>11</v>
      </c>
      <c r="S13" s="64">
        <f t="shared" si="8"/>
        <v>11</v>
      </c>
      <c r="T13" s="64">
        <f t="shared" si="8"/>
        <v>11</v>
      </c>
      <c r="U13" s="64">
        <f t="shared" si="8"/>
        <v>11</v>
      </c>
      <c r="V13" s="65">
        <f t="shared" si="2"/>
        <v>164</v>
      </c>
      <c r="W13" s="137"/>
      <c r="X13" s="33" t="s">
        <v>25</v>
      </c>
      <c r="Y13" s="34">
        <f t="shared" si="5"/>
        <v>94956</v>
      </c>
      <c r="Z13" s="35">
        <f t="shared" si="6"/>
        <v>659416.66666666663</v>
      </c>
    </row>
    <row r="14" spans="1:28" s="13" customFormat="1" ht="54" customHeight="1" thickBot="1">
      <c r="A14" s="166"/>
      <c r="B14" s="60" t="s">
        <v>43</v>
      </c>
      <c r="C14" s="72">
        <v>380</v>
      </c>
      <c r="D14" s="170"/>
      <c r="E14" s="173"/>
      <c r="F14" s="62">
        <f>75000/1008*V14*W7</f>
        <v>36607.142857142855</v>
      </c>
      <c r="G14" s="162"/>
      <c r="H14" s="63">
        <f t="shared" ref="H14:U15" si="9">H11</f>
        <v>12</v>
      </c>
      <c r="I14" s="64">
        <f t="shared" si="9"/>
        <v>12</v>
      </c>
      <c r="J14" s="64">
        <f t="shared" si="9"/>
        <v>12</v>
      </c>
      <c r="K14" s="64">
        <f t="shared" si="9"/>
        <v>12</v>
      </c>
      <c r="L14" s="64">
        <f t="shared" si="9"/>
        <v>12</v>
      </c>
      <c r="M14" s="64">
        <f t="shared" si="9"/>
        <v>12</v>
      </c>
      <c r="N14" s="64">
        <f t="shared" si="9"/>
        <v>12</v>
      </c>
      <c r="O14" s="64">
        <f t="shared" si="9"/>
        <v>12</v>
      </c>
      <c r="P14" s="64">
        <f t="shared" si="9"/>
        <v>12</v>
      </c>
      <c r="Q14" s="64">
        <f>Q11</f>
        <v>12</v>
      </c>
      <c r="R14" s="64">
        <f>R11</f>
        <v>11</v>
      </c>
      <c r="S14" s="64">
        <f t="shared" si="9"/>
        <v>11</v>
      </c>
      <c r="T14" s="64">
        <f t="shared" si="9"/>
        <v>11</v>
      </c>
      <c r="U14" s="64">
        <f t="shared" si="9"/>
        <v>11</v>
      </c>
      <c r="V14" s="65">
        <f t="shared" si="2"/>
        <v>164</v>
      </c>
      <c r="W14" s="137"/>
      <c r="X14" s="33" t="s">
        <v>25</v>
      </c>
      <c r="Y14" s="34">
        <f t="shared" si="5"/>
        <v>62320</v>
      </c>
      <c r="Z14" s="35">
        <f t="shared" si="6"/>
        <v>432777.77777777775</v>
      </c>
    </row>
    <row r="15" spans="1:28" s="13" customFormat="1" ht="54" customHeight="1" thickBot="1">
      <c r="A15" s="166"/>
      <c r="B15" s="60" t="s">
        <v>42</v>
      </c>
      <c r="C15" s="72">
        <v>428</v>
      </c>
      <c r="D15" s="170"/>
      <c r="E15" s="173"/>
      <c r="F15" s="62">
        <f>75000/1008*V15*W7</f>
        <v>36607.142857142855</v>
      </c>
      <c r="G15" s="162"/>
      <c r="H15" s="63">
        <f t="shared" si="9"/>
        <v>12</v>
      </c>
      <c r="I15" s="64">
        <f t="shared" si="9"/>
        <v>12</v>
      </c>
      <c r="J15" s="64">
        <f t="shared" si="9"/>
        <v>12</v>
      </c>
      <c r="K15" s="64">
        <f t="shared" si="9"/>
        <v>12</v>
      </c>
      <c r="L15" s="64">
        <f t="shared" si="9"/>
        <v>12</v>
      </c>
      <c r="M15" s="64">
        <f t="shared" si="9"/>
        <v>12</v>
      </c>
      <c r="N15" s="64">
        <f t="shared" si="9"/>
        <v>12</v>
      </c>
      <c r="O15" s="64">
        <f t="shared" si="9"/>
        <v>12</v>
      </c>
      <c r="P15" s="64">
        <f t="shared" si="9"/>
        <v>12</v>
      </c>
      <c r="Q15" s="64">
        <f>Q11</f>
        <v>12</v>
      </c>
      <c r="R15" s="64">
        <f>R11</f>
        <v>11</v>
      </c>
      <c r="S15" s="64">
        <f t="shared" si="9"/>
        <v>11</v>
      </c>
      <c r="T15" s="64">
        <f t="shared" si="9"/>
        <v>11</v>
      </c>
      <c r="U15" s="64">
        <f t="shared" si="9"/>
        <v>11</v>
      </c>
      <c r="V15" s="65">
        <f t="shared" si="2"/>
        <v>164</v>
      </c>
      <c r="W15" s="137"/>
      <c r="X15" s="33" t="s">
        <v>25</v>
      </c>
      <c r="Y15" s="34">
        <f t="shared" si="5"/>
        <v>70192</v>
      </c>
      <c r="Z15" s="35">
        <f t="shared" si="6"/>
        <v>487444.44444444438</v>
      </c>
    </row>
    <row r="16" spans="1:28" s="36" customFormat="1" ht="54" customHeight="1" thickBot="1">
      <c r="A16" s="167"/>
      <c r="B16" s="73" t="s">
        <v>44</v>
      </c>
      <c r="C16" s="74">
        <v>92</v>
      </c>
      <c r="D16" s="171"/>
      <c r="E16" s="174"/>
      <c r="F16" s="75">
        <f>45000/1008*V16*W7</f>
        <v>21964.285714285714</v>
      </c>
      <c r="G16" s="163"/>
      <c r="H16" s="76">
        <f>H11</f>
        <v>12</v>
      </c>
      <c r="I16" s="77">
        <f>I11</f>
        <v>12</v>
      </c>
      <c r="J16" s="77">
        <f t="shared" ref="J16:U16" si="10">J11</f>
        <v>12</v>
      </c>
      <c r="K16" s="77">
        <f t="shared" si="10"/>
        <v>12</v>
      </c>
      <c r="L16" s="77">
        <f t="shared" si="10"/>
        <v>12</v>
      </c>
      <c r="M16" s="77">
        <f t="shared" si="10"/>
        <v>12</v>
      </c>
      <c r="N16" s="77">
        <f t="shared" si="10"/>
        <v>12</v>
      </c>
      <c r="O16" s="77">
        <f t="shared" si="10"/>
        <v>12</v>
      </c>
      <c r="P16" s="77">
        <f t="shared" si="10"/>
        <v>12</v>
      </c>
      <c r="Q16" s="77">
        <f>Q11</f>
        <v>12</v>
      </c>
      <c r="R16" s="77">
        <f>R11</f>
        <v>11</v>
      </c>
      <c r="S16" s="77">
        <f t="shared" si="10"/>
        <v>11</v>
      </c>
      <c r="T16" s="77">
        <f t="shared" si="10"/>
        <v>11</v>
      </c>
      <c r="U16" s="77">
        <f t="shared" si="10"/>
        <v>11</v>
      </c>
      <c r="V16" s="78">
        <f t="shared" si="2"/>
        <v>164</v>
      </c>
      <c r="W16" s="137"/>
      <c r="X16" s="33" t="s">
        <v>25</v>
      </c>
      <c r="Y16" s="34">
        <f t="shared" si="5"/>
        <v>15088</v>
      </c>
      <c r="Z16" s="35">
        <f t="shared" si="6"/>
        <v>104777.77777777778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27</v>
      </c>
      <c r="F17" s="82">
        <f>SUM(F9:F16)</f>
        <v>369892.8571428571</v>
      </c>
      <c r="G17" s="83">
        <f>SUM(G9:G13)</f>
        <v>200000</v>
      </c>
      <c r="H17" s="84">
        <f t="shared" ref="H17:U17" si="11">SUM(H9:H16)</f>
        <v>89</v>
      </c>
      <c r="I17" s="84">
        <f t="shared" si="11"/>
        <v>89</v>
      </c>
      <c r="J17" s="84">
        <f t="shared" si="11"/>
        <v>89</v>
      </c>
      <c r="K17" s="84">
        <f t="shared" si="11"/>
        <v>89</v>
      </c>
      <c r="L17" s="84">
        <f t="shared" si="11"/>
        <v>88</v>
      </c>
      <c r="M17" s="84">
        <f t="shared" si="11"/>
        <v>88</v>
      </c>
      <c r="N17" s="84">
        <f t="shared" si="11"/>
        <v>88</v>
      </c>
      <c r="O17" s="84">
        <f t="shared" si="11"/>
        <v>88</v>
      </c>
      <c r="P17" s="84">
        <f t="shared" si="11"/>
        <v>88</v>
      </c>
      <c r="Q17" s="84">
        <f t="shared" si="11"/>
        <v>88</v>
      </c>
      <c r="R17" s="84">
        <f t="shared" si="11"/>
        <v>82</v>
      </c>
      <c r="S17" s="84">
        <f t="shared" si="11"/>
        <v>82</v>
      </c>
      <c r="T17" s="84">
        <f t="shared" si="11"/>
        <v>82</v>
      </c>
      <c r="U17" s="84">
        <f t="shared" si="11"/>
        <v>82</v>
      </c>
      <c r="V17" s="85">
        <f>SUM(V7:V16)</f>
        <v>1212</v>
      </c>
      <c r="W17" s="138">
        <f>SUM(W9:W16)</f>
        <v>199642.85714285713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10000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210000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58</v>
      </c>
      <c r="B29" s="179"/>
      <c r="C29" s="179"/>
      <c r="D29" s="122"/>
      <c r="E29" s="122"/>
      <c r="F29" s="122"/>
      <c r="G29" s="122"/>
      <c r="H29" s="123"/>
      <c r="I29" s="180" t="s">
        <v>34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59</v>
      </c>
      <c r="B30" s="179"/>
      <c r="C30" s="179"/>
      <c r="D30" s="122"/>
      <c r="E30" s="122"/>
      <c r="F30" s="122"/>
      <c r="G30" s="122"/>
      <c r="H30" s="124"/>
      <c r="I30" s="176" t="s">
        <v>35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60</v>
      </c>
      <c r="B31" s="175"/>
      <c r="C31" s="175"/>
      <c r="D31" s="123"/>
      <c r="E31" s="123"/>
      <c r="F31" s="123"/>
      <c r="G31" s="123"/>
      <c r="H31" s="124"/>
      <c r="I31" s="176" t="s">
        <v>36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A17:B17"/>
    <mergeCell ref="A29:C29"/>
    <mergeCell ref="I29:K29"/>
    <mergeCell ref="L29:O29"/>
    <mergeCell ref="A30:C30"/>
    <mergeCell ref="I30:N30"/>
    <mergeCell ref="A9:A10"/>
    <mergeCell ref="E9:E10"/>
    <mergeCell ref="G9:G16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7" priority="1" operator="containsText" text="日">
      <formula>NOT(ISERROR(SEARCH("日",H8)))</formula>
    </cfRule>
    <cfRule type="containsText" dxfId="6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0F93-63A7-4F37-8907-BF21DF7D2D33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D17" sqref="D17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9" width="0" style="31" hidden="1" customWidth="1"/>
    <col min="30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52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2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45</v>
      </c>
      <c r="B9" s="54" t="s">
        <v>46</v>
      </c>
      <c r="C9" s="55" t="s">
        <v>48</v>
      </c>
      <c r="D9" s="129" t="s">
        <v>37</v>
      </c>
      <c r="E9" s="159" t="s">
        <v>50</v>
      </c>
      <c r="F9" s="56">
        <f>300000/420*V9*W6</f>
        <v>100000</v>
      </c>
      <c r="G9" s="161">
        <v>200000</v>
      </c>
      <c r="H9" s="57">
        <v>10</v>
      </c>
      <c r="I9" s="58">
        <f t="shared" ref="I9:U10" si="1">H9</f>
        <v>10</v>
      </c>
      <c r="J9" s="58">
        <f>I9</f>
        <v>10</v>
      </c>
      <c r="K9" s="58">
        <f t="shared" si="1"/>
        <v>10</v>
      </c>
      <c r="L9" s="58">
        <f>K9</f>
        <v>10</v>
      </c>
      <c r="M9" s="58">
        <f t="shared" si="1"/>
        <v>10</v>
      </c>
      <c r="N9" s="58">
        <f>M9</f>
        <v>10</v>
      </c>
      <c r="O9" s="58">
        <f>N9</f>
        <v>10</v>
      </c>
      <c r="P9" s="58">
        <f>O9</f>
        <v>10</v>
      </c>
      <c r="Q9" s="58">
        <f>P9</f>
        <v>10</v>
      </c>
      <c r="R9" s="58">
        <f>Q9</f>
        <v>10</v>
      </c>
      <c r="S9" s="58">
        <f>P9</f>
        <v>10</v>
      </c>
      <c r="T9" s="58">
        <f t="shared" si="1"/>
        <v>10</v>
      </c>
      <c r="U9" s="58">
        <f t="shared" si="1"/>
        <v>10</v>
      </c>
      <c r="V9" s="59">
        <f t="shared" ref="V9:V16" si="2">SUM(H9:U9)</f>
        <v>140</v>
      </c>
      <c r="W9" s="137">
        <f>250000/420*V9</f>
        <v>83333.333333333328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47</v>
      </c>
      <c r="C10" s="61" t="s">
        <v>49</v>
      </c>
      <c r="D10" s="133" t="s">
        <v>38</v>
      </c>
      <c r="E10" s="160"/>
      <c r="F10" s="62" t="s">
        <v>39</v>
      </c>
      <c r="G10" s="162"/>
      <c r="H10" s="63">
        <v>18</v>
      </c>
      <c r="I10" s="64">
        <f>H10</f>
        <v>18</v>
      </c>
      <c r="J10" s="64">
        <v>17</v>
      </c>
      <c r="K10" s="64">
        <f t="shared" si="1"/>
        <v>17</v>
      </c>
      <c r="L10" s="64">
        <f t="shared" ref="L10" si="3">K10</f>
        <v>17</v>
      </c>
      <c r="M10" s="64">
        <f t="shared" si="1"/>
        <v>17</v>
      </c>
      <c r="N10" s="64">
        <f>M10</f>
        <v>17</v>
      </c>
      <c r="O10" s="64">
        <f t="shared" si="1"/>
        <v>17</v>
      </c>
      <c r="P10" s="64">
        <f t="shared" ref="P10:R11" si="4">O10</f>
        <v>17</v>
      </c>
      <c r="Q10" s="64">
        <f t="shared" si="4"/>
        <v>17</v>
      </c>
      <c r="R10" s="64">
        <f t="shared" si="4"/>
        <v>17</v>
      </c>
      <c r="S10" s="64">
        <f t="shared" ref="S10" si="5">P10</f>
        <v>17</v>
      </c>
      <c r="T10" s="64">
        <f t="shared" si="1"/>
        <v>17</v>
      </c>
      <c r="U10" s="64">
        <f>T10</f>
        <v>17</v>
      </c>
      <c r="V10" s="65">
        <f t="shared" si="2"/>
        <v>240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64</v>
      </c>
      <c r="B11" s="66" t="s">
        <v>66</v>
      </c>
      <c r="C11" s="67">
        <v>1209</v>
      </c>
      <c r="D11" s="168" t="s">
        <v>67</v>
      </c>
      <c r="E11" s="172" t="s">
        <v>50</v>
      </c>
      <c r="F11" s="68">
        <f>150000/1008*V11*W7</f>
        <v>72916.666666666657</v>
      </c>
      <c r="G11" s="162"/>
      <c r="H11" s="69">
        <v>18</v>
      </c>
      <c r="I11" s="70">
        <f>H11</f>
        <v>18</v>
      </c>
      <c r="J11" s="70">
        <f t="shared" ref="J11:U11" si="6">I11</f>
        <v>18</v>
      </c>
      <c r="K11" s="70">
        <f t="shared" si="6"/>
        <v>18</v>
      </c>
      <c r="L11" s="70">
        <f t="shared" si="6"/>
        <v>18</v>
      </c>
      <c r="M11" s="70">
        <f t="shared" si="6"/>
        <v>18</v>
      </c>
      <c r="N11" s="70">
        <f t="shared" si="6"/>
        <v>18</v>
      </c>
      <c r="O11" s="70">
        <v>17</v>
      </c>
      <c r="P11" s="70">
        <f t="shared" si="4"/>
        <v>17</v>
      </c>
      <c r="Q11" s="70">
        <f t="shared" si="4"/>
        <v>17</v>
      </c>
      <c r="R11" s="70">
        <f t="shared" si="4"/>
        <v>17</v>
      </c>
      <c r="S11" s="70">
        <f>R11</f>
        <v>17</v>
      </c>
      <c r="T11" s="70">
        <f t="shared" si="6"/>
        <v>17</v>
      </c>
      <c r="U11" s="70">
        <f t="shared" si="6"/>
        <v>17</v>
      </c>
      <c r="V11" s="71">
        <f t="shared" si="2"/>
        <v>245</v>
      </c>
      <c r="W11" s="137">
        <f>120000/504*W7*V11</f>
        <v>116666.66666666667</v>
      </c>
      <c r="X11" s="33" t="s">
        <v>25</v>
      </c>
      <c r="Y11" s="34">
        <f t="shared" ref="Y11:Y16" si="7">V11*C11</f>
        <v>296205</v>
      </c>
      <c r="Z11" s="35">
        <f t="shared" ref="Z11:Z16" si="8">1000*(C11/24/6)*V11</f>
        <v>2056979.1666666667</v>
      </c>
    </row>
    <row r="12" spans="1:28" s="13" customFormat="1" ht="54" customHeight="1" thickBot="1">
      <c r="A12" s="165"/>
      <c r="B12" s="60" t="s">
        <v>26</v>
      </c>
      <c r="C12" s="72">
        <v>660</v>
      </c>
      <c r="D12" s="169"/>
      <c r="E12" s="160"/>
      <c r="F12" s="62">
        <f>120000/1008*V11*W7</f>
        <v>58333.333333333336</v>
      </c>
      <c r="G12" s="162"/>
      <c r="H12" s="63">
        <f>H11</f>
        <v>18</v>
      </c>
      <c r="I12" s="64">
        <f>I11</f>
        <v>18</v>
      </c>
      <c r="J12" s="64">
        <f t="shared" ref="J12:U12" si="9">J11</f>
        <v>18</v>
      </c>
      <c r="K12" s="64">
        <f t="shared" si="9"/>
        <v>18</v>
      </c>
      <c r="L12" s="64">
        <f t="shared" si="9"/>
        <v>18</v>
      </c>
      <c r="M12" s="64">
        <f t="shared" si="9"/>
        <v>18</v>
      </c>
      <c r="N12" s="64">
        <f t="shared" si="9"/>
        <v>18</v>
      </c>
      <c r="O12" s="64">
        <f t="shared" si="9"/>
        <v>17</v>
      </c>
      <c r="P12" s="64">
        <f t="shared" si="9"/>
        <v>17</v>
      </c>
      <c r="Q12" s="64">
        <f>Q11</f>
        <v>17</v>
      </c>
      <c r="R12" s="64">
        <f>R11</f>
        <v>17</v>
      </c>
      <c r="S12" s="64">
        <f t="shared" si="9"/>
        <v>17</v>
      </c>
      <c r="T12" s="64">
        <f t="shared" si="9"/>
        <v>17</v>
      </c>
      <c r="U12" s="64">
        <f t="shared" si="9"/>
        <v>17</v>
      </c>
      <c r="V12" s="65">
        <f t="shared" si="2"/>
        <v>245</v>
      </c>
      <c r="W12" s="137"/>
      <c r="X12" s="33" t="s">
        <v>25</v>
      </c>
      <c r="Y12" s="34">
        <f t="shared" si="7"/>
        <v>161700</v>
      </c>
      <c r="Z12" s="35">
        <f t="shared" si="8"/>
        <v>1122916.6666666665</v>
      </c>
    </row>
    <row r="13" spans="1:28" s="13" customFormat="1" ht="54" customHeight="1" thickBot="1">
      <c r="A13" s="165"/>
      <c r="B13" s="60" t="s">
        <v>41</v>
      </c>
      <c r="C13" s="72">
        <v>579</v>
      </c>
      <c r="D13" s="169"/>
      <c r="E13" s="160"/>
      <c r="F13" s="62">
        <f>90000/1008*V13*W7</f>
        <v>43750</v>
      </c>
      <c r="G13" s="162"/>
      <c r="H13" s="63">
        <f>H11</f>
        <v>18</v>
      </c>
      <c r="I13" s="64">
        <f>I11</f>
        <v>18</v>
      </c>
      <c r="J13" s="64">
        <f t="shared" ref="J13:U13" si="10">J11</f>
        <v>18</v>
      </c>
      <c r="K13" s="64">
        <f t="shared" si="10"/>
        <v>18</v>
      </c>
      <c r="L13" s="64">
        <f t="shared" si="10"/>
        <v>18</v>
      </c>
      <c r="M13" s="64">
        <f t="shared" si="10"/>
        <v>18</v>
      </c>
      <c r="N13" s="64">
        <f t="shared" si="10"/>
        <v>18</v>
      </c>
      <c r="O13" s="64">
        <f t="shared" si="10"/>
        <v>17</v>
      </c>
      <c r="P13" s="64">
        <f t="shared" si="10"/>
        <v>17</v>
      </c>
      <c r="Q13" s="64">
        <f>Q11</f>
        <v>17</v>
      </c>
      <c r="R13" s="64">
        <f>R11</f>
        <v>17</v>
      </c>
      <c r="S13" s="64">
        <f t="shared" si="10"/>
        <v>17</v>
      </c>
      <c r="T13" s="64">
        <f t="shared" si="10"/>
        <v>17</v>
      </c>
      <c r="U13" s="64">
        <f t="shared" si="10"/>
        <v>17</v>
      </c>
      <c r="V13" s="65">
        <f t="shared" si="2"/>
        <v>245</v>
      </c>
      <c r="W13" s="137"/>
      <c r="X13" s="33" t="s">
        <v>25</v>
      </c>
      <c r="Y13" s="34">
        <f t="shared" si="7"/>
        <v>141855</v>
      </c>
      <c r="Z13" s="35">
        <f t="shared" si="8"/>
        <v>985104.16666666663</v>
      </c>
    </row>
    <row r="14" spans="1:28" s="13" customFormat="1" ht="54" customHeight="1" thickBot="1">
      <c r="A14" s="166"/>
      <c r="B14" s="60" t="s">
        <v>43</v>
      </c>
      <c r="C14" s="72">
        <v>380</v>
      </c>
      <c r="D14" s="170"/>
      <c r="E14" s="173"/>
      <c r="F14" s="62">
        <f>75000/1008*V14*W7</f>
        <v>36458.333333333328</v>
      </c>
      <c r="G14" s="162"/>
      <c r="H14" s="63">
        <f t="shared" ref="H14:U14" si="11">H11</f>
        <v>18</v>
      </c>
      <c r="I14" s="64">
        <f t="shared" si="11"/>
        <v>18</v>
      </c>
      <c r="J14" s="64">
        <f t="shared" si="11"/>
        <v>18</v>
      </c>
      <c r="K14" s="64">
        <f t="shared" si="11"/>
        <v>18</v>
      </c>
      <c r="L14" s="64">
        <f t="shared" si="11"/>
        <v>18</v>
      </c>
      <c r="M14" s="64">
        <f t="shared" si="11"/>
        <v>18</v>
      </c>
      <c r="N14" s="64">
        <f t="shared" si="11"/>
        <v>18</v>
      </c>
      <c r="O14" s="64">
        <f t="shared" si="11"/>
        <v>17</v>
      </c>
      <c r="P14" s="64">
        <f t="shared" si="11"/>
        <v>17</v>
      </c>
      <c r="Q14" s="64">
        <f>Q11</f>
        <v>17</v>
      </c>
      <c r="R14" s="64">
        <f>R11</f>
        <v>17</v>
      </c>
      <c r="S14" s="64">
        <f t="shared" si="11"/>
        <v>17</v>
      </c>
      <c r="T14" s="64">
        <f t="shared" si="11"/>
        <v>17</v>
      </c>
      <c r="U14" s="64">
        <f t="shared" si="11"/>
        <v>17</v>
      </c>
      <c r="V14" s="65">
        <f t="shared" si="2"/>
        <v>245</v>
      </c>
      <c r="W14" s="137"/>
      <c r="X14" s="33" t="s">
        <v>25</v>
      </c>
      <c r="Y14" s="34">
        <f t="shared" si="7"/>
        <v>93100</v>
      </c>
      <c r="Z14" s="35">
        <f t="shared" si="8"/>
        <v>646527.77777777775</v>
      </c>
    </row>
    <row r="15" spans="1:28" s="13" customFormat="1" ht="54" customHeight="1" thickBot="1">
      <c r="A15" s="166"/>
      <c r="B15" s="60" t="s">
        <v>42</v>
      </c>
      <c r="C15" s="72">
        <v>428</v>
      </c>
      <c r="D15" s="170"/>
      <c r="E15" s="173"/>
      <c r="F15" s="62">
        <f>75000/1008*V15*W7</f>
        <v>36458.333333333328</v>
      </c>
      <c r="G15" s="162"/>
      <c r="H15" s="63">
        <f t="shared" ref="H15:U15" si="12">H12</f>
        <v>18</v>
      </c>
      <c r="I15" s="64">
        <f t="shared" si="12"/>
        <v>18</v>
      </c>
      <c r="J15" s="64">
        <f t="shared" si="12"/>
        <v>18</v>
      </c>
      <c r="K15" s="64">
        <f t="shared" si="12"/>
        <v>18</v>
      </c>
      <c r="L15" s="64">
        <f t="shared" si="12"/>
        <v>18</v>
      </c>
      <c r="M15" s="64">
        <f t="shared" si="12"/>
        <v>18</v>
      </c>
      <c r="N15" s="64">
        <f t="shared" si="12"/>
        <v>18</v>
      </c>
      <c r="O15" s="64">
        <f t="shared" si="12"/>
        <v>17</v>
      </c>
      <c r="P15" s="64">
        <f t="shared" si="12"/>
        <v>17</v>
      </c>
      <c r="Q15" s="64">
        <f>Q11</f>
        <v>17</v>
      </c>
      <c r="R15" s="64">
        <f>R11</f>
        <v>17</v>
      </c>
      <c r="S15" s="64">
        <f t="shared" si="12"/>
        <v>17</v>
      </c>
      <c r="T15" s="64">
        <f t="shared" si="12"/>
        <v>17</v>
      </c>
      <c r="U15" s="64">
        <f t="shared" si="12"/>
        <v>17</v>
      </c>
      <c r="V15" s="65">
        <f t="shared" si="2"/>
        <v>245</v>
      </c>
      <c r="W15" s="137"/>
      <c r="X15" s="33" t="s">
        <v>25</v>
      </c>
      <c r="Y15" s="34">
        <f t="shared" si="7"/>
        <v>104860</v>
      </c>
      <c r="Z15" s="35">
        <f t="shared" si="8"/>
        <v>728194.44444444426</v>
      </c>
    </row>
    <row r="16" spans="1:28" s="36" customFormat="1" ht="54" customHeight="1" thickBot="1">
      <c r="A16" s="167"/>
      <c r="B16" s="73" t="s">
        <v>44</v>
      </c>
      <c r="C16" s="74">
        <v>92</v>
      </c>
      <c r="D16" s="171"/>
      <c r="E16" s="174"/>
      <c r="F16" s="75">
        <f>45000/1008*V16*W7</f>
        <v>21875</v>
      </c>
      <c r="G16" s="163"/>
      <c r="H16" s="76">
        <f>H11</f>
        <v>18</v>
      </c>
      <c r="I16" s="77">
        <f>I11</f>
        <v>18</v>
      </c>
      <c r="J16" s="77">
        <f t="shared" ref="J16:U16" si="13">J11</f>
        <v>18</v>
      </c>
      <c r="K16" s="77">
        <f t="shared" si="13"/>
        <v>18</v>
      </c>
      <c r="L16" s="77">
        <f t="shared" si="13"/>
        <v>18</v>
      </c>
      <c r="M16" s="77">
        <f t="shared" si="13"/>
        <v>18</v>
      </c>
      <c r="N16" s="77">
        <f t="shared" si="13"/>
        <v>18</v>
      </c>
      <c r="O16" s="77">
        <f t="shared" si="13"/>
        <v>17</v>
      </c>
      <c r="P16" s="77">
        <f t="shared" si="13"/>
        <v>17</v>
      </c>
      <c r="Q16" s="77">
        <f>Q11</f>
        <v>17</v>
      </c>
      <c r="R16" s="77">
        <f>R11</f>
        <v>17</v>
      </c>
      <c r="S16" s="77">
        <f t="shared" si="13"/>
        <v>17</v>
      </c>
      <c r="T16" s="77">
        <f t="shared" si="13"/>
        <v>17</v>
      </c>
      <c r="U16" s="77">
        <f t="shared" si="13"/>
        <v>17</v>
      </c>
      <c r="V16" s="78">
        <f t="shared" si="2"/>
        <v>245</v>
      </c>
      <c r="W16" s="137"/>
      <c r="X16" s="33" t="s">
        <v>25</v>
      </c>
      <c r="Y16" s="34">
        <f t="shared" si="7"/>
        <v>22540</v>
      </c>
      <c r="Z16" s="35">
        <f t="shared" si="8"/>
        <v>156527.77777777778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27</v>
      </c>
      <c r="F17" s="82">
        <f>SUM(F9:F16)</f>
        <v>369791.66666666663</v>
      </c>
      <c r="G17" s="83">
        <f>SUM(G9:G13)</f>
        <v>200000</v>
      </c>
      <c r="H17" s="84">
        <f t="shared" ref="H17:U17" si="14">SUM(H9:H16)</f>
        <v>136</v>
      </c>
      <c r="I17" s="84">
        <f t="shared" si="14"/>
        <v>136</v>
      </c>
      <c r="J17" s="84">
        <f t="shared" si="14"/>
        <v>135</v>
      </c>
      <c r="K17" s="84">
        <f t="shared" si="14"/>
        <v>135</v>
      </c>
      <c r="L17" s="84">
        <f t="shared" si="14"/>
        <v>135</v>
      </c>
      <c r="M17" s="84">
        <f t="shared" si="14"/>
        <v>135</v>
      </c>
      <c r="N17" s="84">
        <f t="shared" si="14"/>
        <v>135</v>
      </c>
      <c r="O17" s="84">
        <f t="shared" si="14"/>
        <v>129</v>
      </c>
      <c r="P17" s="84">
        <f t="shared" si="14"/>
        <v>129</v>
      </c>
      <c r="Q17" s="84">
        <f t="shared" si="14"/>
        <v>129</v>
      </c>
      <c r="R17" s="84">
        <f t="shared" si="14"/>
        <v>129</v>
      </c>
      <c r="S17" s="84">
        <f t="shared" si="14"/>
        <v>129</v>
      </c>
      <c r="T17" s="84">
        <f t="shared" si="14"/>
        <v>129</v>
      </c>
      <c r="U17" s="84">
        <f t="shared" si="14"/>
        <v>129</v>
      </c>
      <c r="V17" s="85">
        <f>SUM(V7:V16)</f>
        <v>1850</v>
      </c>
      <c r="W17" s="138">
        <f>SUM(W9:W16)</f>
        <v>200000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10000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210000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58</v>
      </c>
      <c r="B29" s="179"/>
      <c r="C29" s="179"/>
      <c r="D29" s="122"/>
      <c r="E29" s="122"/>
      <c r="F29" s="122"/>
      <c r="G29" s="122"/>
      <c r="H29" s="123"/>
      <c r="I29" s="180" t="s">
        <v>34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59</v>
      </c>
      <c r="B30" s="179"/>
      <c r="C30" s="179"/>
      <c r="D30" s="122"/>
      <c r="E30" s="122"/>
      <c r="F30" s="122"/>
      <c r="G30" s="122"/>
      <c r="H30" s="124"/>
      <c r="I30" s="176" t="s">
        <v>35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60</v>
      </c>
      <c r="B31" s="175"/>
      <c r="C31" s="175"/>
      <c r="D31" s="123"/>
      <c r="E31" s="123"/>
      <c r="F31" s="123"/>
      <c r="G31" s="123"/>
      <c r="H31" s="124"/>
      <c r="I31" s="176" t="s">
        <v>36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31:C31"/>
    <mergeCell ref="I31:N31"/>
    <mergeCell ref="G9:G16"/>
    <mergeCell ref="A17:B17"/>
    <mergeCell ref="A29:C29"/>
    <mergeCell ref="I29:K29"/>
    <mergeCell ref="L29:O29"/>
    <mergeCell ref="A30:C30"/>
    <mergeCell ref="I30:N30"/>
    <mergeCell ref="A9:A10"/>
    <mergeCell ref="E9:E10"/>
    <mergeCell ref="A11:A16"/>
    <mergeCell ref="D11:D16"/>
    <mergeCell ref="E11:E16"/>
  </mergeCells>
  <phoneticPr fontId="4" type="noConversion"/>
  <conditionalFormatting sqref="H8:U8">
    <cfRule type="containsText" dxfId="5" priority="1" operator="containsText" text="日">
      <formula>NOT(ISERROR(SEARCH("日",H8)))</formula>
    </cfRule>
    <cfRule type="containsText" dxfId="4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CFB4-833B-4582-8FDB-7ACB00EBABE9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D17" sqref="D17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8" width="0" style="31" hidden="1" customWidth="1"/>
    <col min="29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62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0.85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1.5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45</v>
      </c>
      <c r="B9" s="54" t="s">
        <v>46</v>
      </c>
      <c r="C9" s="55" t="s">
        <v>48</v>
      </c>
      <c r="D9" s="129" t="s">
        <v>37</v>
      </c>
      <c r="E9" s="159" t="str">
        <f>B4</f>
        <v>15秒</v>
      </c>
      <c r="F9" s="56">
        <f>300000/420*V9*W6</f>
        <v>102000.00000000001</v>
      </c>
      <c r="G9" s="161">
        <v>200000</v>
      </c>
      <c r="H9" s="57">
        <v>12</v>
      </c>
      <c r="I9" s="58">
        <f t="shared" ref="I9:U11" si="1">H9</f>
        <v>12</v>
      </c>
      <c r="J9" s="58">
        <f>I9</f>
        <v>12</v>
      </c>
      <c r="K9" s="58">
        <f t="shared" si="1"/>
        <v>12</v>
      </c>
      <c r="L9" s="58">
        <f>K9</f>
        <v>12</v>
      </c>
      <c r="M9" s="58">
        <f t="shared" si="1"/>
        <v>12</v>
      </c>
      <c r="N9" s="58">
        <f>M9</f>
        <v>12</v>
      </c>
      <c r="O9" s="58">
        <f>N9</f>
        <v>12</v>
      </c>
      <c r="P9" s="58">
        <f>O9</f>
        <v>12</v>
      </c>
      <c r="Q9" s="58">
        <f>P9</f>
        <v>12</v>
      </c>
      <c r="R9" s="58">
        <f>Q9</f>
        <v>12</v>
      </c>
      <c r="S9" s="58">
        <f>P9</f>
        <v>12</v>
      </c>
      <c r="T9" s="58">
        <f t="shared" si="1"/>
        <v>12</v>
      </c>
      <c r="U9" s="58">
        <f t="shared" si="1"/>
        <v>12</v>
      </c>
      <c r="V9" s="59">
        <f t="shared" ref="V9:V16" si="2">SUM(H9:U9)</f>
        <v>168</v>
      </c>
      <c r="W9" s="137">
        <f>250000/420*W6*V9</f>
        <v>84999.999999999985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47</v>
      </c>
      <c r="C10" s="61" t="s">
        <v>49</v>
      </c>
      <c r="D10" s="133" t="s">
        <v>38</v>
      </c>
      <c r="E10" s="160"/>
      <c r="F10" s="62" t="s">
        <v>39</v>
      </c>
      <c r="G10" s="162"/>
      <c r="H10" s="63">
        <v>21</v>
      </c>
      <c r="I10" s="64">
        <f>H10</f>
        <v>21</v>
      </c>
      <c r="J10" s="64">
        <f>I10</f>
        <v>21</v>
      </c>
      <c r="K10" s="64">
        <f t="shared" si="1"/>
        <v>21</v>
      </c>
      <c r="L10" s="64">
        <f t="shared" si="1"/>
        <v>21</v>
      </c>
      <c r="M10" s="64">
        <f t="shared" si="1"/>
        <v>21</v>
      </c>
      <c r="N10" s="64">
        <f>M10</f>
        <v>21</v>
      </c>
      <c r="O10" s="64">
        <f t="shared" si="1"/>
        <v>21</v>
      </c>
      <c r="P10" s="64">
        <v>20</v>
      </c>
      <c r="Q10" s="64">
        <f t="shared" ref="P10:R11" si="3">P10</f>
        <v>20</v>
      </c>
      <c r="R10" s="64">
        <v>20</v>
      </c>
      <c r="S10" s="64">
        <f>R10</f>
        <v>20</v>
      </c>
      <c r="T10" s="64">
        <f t="shared" si="1"/>
        <v>20</v>
      </c>
      <c r="U10" s="64">
        <f>T10</f>
        <v>20</v>
      </c>
      <c r="V10" s="65">
        <f t="shared" si="2"/>
        <v>288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64</v>
      </c>
      <c r="B11" s="66" t="s">
        <v>66</v>
      </c>
      <c r="C11" s="67">
        <v>1209</v>
      </c>
      <c r="D11" s="168" t="s">
        <v>67</v>
      </c>
      <c r="E11" s="172" t="str">
        <f>B4</f>
        <v>15秒</v>
      </c>
      <c r="F11" s="68">
        <f>150000/1008*V11*W7</f>
        <v>71875</v>
      </c>
      <c r="G11" s="162"/>
      <c r="H11" s="69">
        <v>23</v>
      </c>
      <c r="I11" s="70">
        <f>H11</f>
        <v>23</v>
      </c>
      <c r="J11" s="70">
        <f t="shared" si="1"/>
        <v>23</v>
      </c>
      <c r="K11" s="70">
        <f t="shared" si="1"/>
        <v>23</v>
      </c>
      <c r="L11" s="70">
        <f t="shared" si="1"/>
        <v>23</v>
      </c>
      <c r="M11" s="70">
        <f t="shared" si="1"/>
        <v>23</v>
      </c>
      <c r="N11" s="70">
        <f t="shared" si="1"/>
        <v>23</v>
      </c>
      <c r="O11" s="70">
        <f t="shared" si="1"/>
        <v>23</v>
      </c>
      <c r="P11" s="70">
        <f t="shared" si="3"/>
        <v>23</v>
      </c>
      <c r="Q11" s="70">
        <f t="shared" si="3"/>
        <v>23</v>
      </c>
      <c r="R11" s="70">
        <f t="shared" si="3"/>
        <v>23</v>
      </c>
      <c r="S11" s="70">
        <f>R11</f>
        <v>23</v>
      </c>
      <c r="T11" s="70">
        <f t="shared" si="1"/>
        <v>23</v>
      </c>
      <c r="U11" s="70">
        <f t="shared" si="1"/>
        <v>23</v>
      </c>
      <c r="V11" s="71">
        <f t="shared" si="2"/>
        <v>322</v>
      </c>
      <c r="W11" s="137">
        <f>120000/504*W7*V11</f>
        <v>115000.00000000001</v>
      </c>
      <c r="X11" s="33" t="s">
        <v>25</v>
      </c>
      <c r="Y11" s="34">
        <f t="shared" ref="Y11:Y16" si="4">V11*C11</f>
        <v>389298</v>
      </c>
      <c r="Z11" s="35">
        <f t="shared" ref="Z11:Z16" si="5">1000*(C11/24/6)*V11</f>
        <v>2703458.3333333335</v>
      </c>
    </row>
    <row r="12" spans="1:28" s="13" customFormat="1" ht="54" customHeight="1" thickBot="1">
      <c r="A12" s="165"/>
      <c r="B12" s="60" t="s">
        <v>26</v>
      </c>
      <c r="C12" s="72">
        <v>660</v>
      </c>
      <c r="D12" s="169"/>
      <c r="E12" s="160"/>
      <c r="F12" s="62">
        <f>120000/1008*V11*W7</f>
        <v>57500</v>
      </c>
      <c r="G12" s="162"/>
      <c r="H12" s="63">
        <f>H11</f>
        <v>23</v>
      </c>
      <c r="I12" s="64">
        <f>I11</f>
        <v>23</v>
      </c>
      <c r="J12" s="64">
        <f t="shared" ref="J12:U12" si="6">J11</f>
        <v>23</v>
      </c>
      <c r="K12" s="64">
        <f t="shared" si="6"/>
        <v>23</v>
      </c>
      <c r="L12" s="64">
        <f t="shared" si="6"/>
        <v>23</v>
      </c>
      <c r="M12" s="64">
        <f t="shared" si="6"/>
        <v>23</v>
      </c>
      <c r="N12" s="64">
        <f t="shared" si="6"/>
        <v>23</v>
      </c>
      <c r="O12" s="64">
        <f t="shared" si="6"/>
        <v>23</v>
      </c>
      <c r="P12" s="64">
        <f t="shared" si="6"/>
        <v>23</v>
      </c>
      <c r="Q12" s="64">
        <f>Q11</f>
        <v>23</v>
      </c>
      <c r="R12" s="64">
        <f>R11</f>
        <v>23</v>
      </c>
      <c r="S12" s="64">
        <f t="shared" si="6"/>
        <v>23</v>
      </c>
      <c r="T12" s="64">
        <f t="shared" si="6"/>
        <v>23</v>
      </c>
      <c r="U12" s="64">
        <f t="shared" si="6"/>
        <v>23</v>
      </c>
      <c r="V12" s="65">
        <f t="shared" si="2"/>
        <v>322</v>
      </c>
      <c r="W12" s="137"/>
      <c r="X12" s="33" t="s">
        <v>25</v>
      </c>
      <c r="Y12" s="34">
        <f t="shared" si="4"/>
        <v>212520</v>
      </c>
      <c r="Z12" s="35">
        <f t="shared" si="5"/>
        <v>1475833.3333333333</v>
      </c>
    </row>
    <row r="13" spans="1:28" s="13" customFormat="1" ht="54" customHeight="1" thickBot="1">
      <c r="A13" s="165"/>
      <c r="B13" s="60" t="s">
        <v>41</v>
      </c>
      <c r="C13" s="72">
        <v>579</v>
      </c>
      <c r="D13" s="169"/>
      <c r="E13" s="160"/>
      <c r="F13" s="62">
        <f>90000/1008*V13*W7</f>
        <v>43125.000000000007</v>
      </c>
      <c r="G13" s="162"/>
      <c r="H13" s="63">
        <f>H11</f>
        <v>23</v>
      </c>
      <c r="I13" s="64">
        <f>I11</f>
        <v>23</v>
      </c>
      <c r="J13" s="64">
        <f t="shared" ref="J13:U13" si="7">J11</f>
        <v>23</v>
      </c>
      <c r="K13" s="64">
        <f t="shared" si="7"/>
        <v>23</v>
      </c>
      <c r="L13" s="64">
        <f t="shared" si="7"/>
        <v>23</v>
      </c>
      <c r="M13" s="64">
        <f t="shared" si="7"/>
        <v>23</v>
      </c>
      <c r="N13" s="64">
        <f t="shared" si="7"/>
        <v>23</v>
      </c>
      <c r="O13" s="64">
        <f t="shared" si="7"/>
        <v>23</v>
      </c>
      <c r="P13" s="64">
        <f t="shared" si="7"/>
        <v>23</v>
      </c>
      <c r="Q13" s="64">
        <f>Q11</f>
        <v>23</v>
      </c>
      <c r="R13" s="64">
        <f>R11</f>
        <v>23</v>
      </c>
      <c r="S13" s="64">
        <f t="shared" si="7"/>
        <v>23</v>
      </c>
      <c r="T13" s="64">
        <f t="shared" si="7"/>
        <v>23</v>
      </c>
      <c r="U13" s="64">
        <f t="shared" si="7"/>
        <v>23</v>
      </c>
      <c r="V13" s="65">
        <f t="shared" si="2"/>
        <v>322</v>
      </c>
      <c r="W13" s="137"/>
      <c r="X13" s="33" t="s">
        <v>25</v>
      </c>
      <c r="Y13" s="34">
        <f t="shared" si="4"/>
        <v>186438</v>
      </c>
      <c r="Z13" s="35">
        <f t="shared" si="5"/>
        <v>1294708.3333333333</v>
      </c>
    </row>
    <row r="14" spans="1:28" s="13" customFormat="1" ht="54" customHeight="1" thickBot="1">
      <c r="A14" s="166"/>
      <c r="B14" s="60" t="s">
        <v>43</v>
      </c>
      <c r="C14" s="72">
        <v>380</v>
      </c>
      <c r="D14" s="170"/>
      <c r="E14" s="173"/>
      <c r="F14" s="62">
        <f>75000/1008*V14*W7</f>
        <v>35937.5</v>
      </c>
      <c r="G14" s="162"/>
      <c r="H14" s="63">
        <f t="shared" ref="H14:U15" si="8">H11</f>
        <v>23</v>
      </c>
      <c r="I14" s="64">
        <f t="shared" si="8"/>
        <v>23</v>
      </c>
      <c r="J14" s="64">
        <f t="shared" si="8"/>
        <v>23</v>
      </c>
      <c r="K14" s="64">
        <f t="shared" si="8"/>
        <v>23</v>
      </c>
      <c r="L14" s="64">
        <f t="shared" si="8"/>
        <v>23</v>
      </c>
      <c r="M14" s="64">
        <f t="shared" si="8"/>
        <v>23</v>
      </c>
      <c r="N14" s="64">
        <f t="shared" si="8"/>
        <v>23</v>
      </c>
      <c r="O14" s="64">
        <f t="shared" si="8"/>
        <v>23</v>
      </c>
      <c r="P14" s="64">
        <f t="shared" si="8"/>
        <v>23</v>
      </c>
      <c r="Q14" s="64">
        <f>Q11</f>
        <v>23</v>
      </c>
      <c r="R14" s="64">
        <f>R11</f>
        <v>23</v>
      </c>
      <c r="S14" s="64">
        <f t="shared" si="8"/>
        <v>23</v>
      </c>
      <c r="T14" s="64">
        <f t="shared" si="8"/>
        <v>23</v>
      </c>
      <c r="U14" s="64">
        <f t="shared" si="8"/>
        <v>23</v>
      </c>
      <c r="V14" s="65">
        <f t="shared" si="2"/>
        <v>322</v>
      </c>
      <c r="W14" s="137"/>
      <c r="X14" s="33" t="s">
        <v>25</v>
      </c>
      <c r="Y14" s="34">
        <f t="shared" si="4"/>
        <v>122360</v>
      </c>
      <c r="Z14" s="35">
        <f t="shared" si="5"/>
        <v>849722.22222222213</v>
      </c>
    </row>
    <row r="15" spans="1:28" s="13" customFormat="1" ht="54" customHeight="1" thickBot="1">
      <c r="A15" s="166"/>
      <c r="B15" s="60" t="s">
        <v>42</v>
      </c>
      <c r="C15" s="72">
        <v>428</v>
      </c>
      <c r="D15" s="170"/>
      <c r="E15" s="173"/>
      <c r="F15" s="62">
        <f>75000/1008*V15*W7</f>
        <v>35937.5</v>
      </c>
      <c r="G15" s="162"/>
      <c r="H15" s="63">
        <f t="shared" si="8"/>
        <v>23</v>
      </c>
      <c r="I15" s="64">
        <f t="shared" si="8"/>
        <v>23</v>
      </c>
      <c r="J15" s="64">
        <f t="shared" si="8"/>
        <v>23</v>
      </c>
      <c r="K15" s="64">
        <f t="shared" si="8"/>
        <v>23</v>
      </c>
      <c r="L15" s="64">
        <f t="shared" si="8"/>
        <v>23</v>
      </c>
      <c r="M15" s="64">
        <f t="shared" si="8"/>
        <v>23</v>
      </c>
      <c r="N15" s="64">
        <f t="shared" si="8"/>
        <v>23</v>
      </c>
      <c r="O15" s="64">
        <f t="shared" si="8"/>
        <v>23</v>
      </c>
      <c r="P15" s="64">
        <f t="shared" si="8"/>
        <v>23</v>
      </c>
      <c r="Q15" s="64">
        <f>Q11</f>
        <v>23</v>
      </c>
      <c r="R15" s="64">
        <f>R11</f>
        <v>23</v>
      </c>
      <c r="S15" s="64">
        <f t="shared" si="8"/>
        <v>23</v>
      </c>
      <c r="T15" s="64">
        <f t="shared" si="8"/>
        <v>23</v>
      </c>
      <c r="U15" s="64">
        <f t="shared" si="8"/>
        <v>23</v>
      </c>
      <c r="V15" s="65">
        <f t="shared" si="2"/>
        <v>322</v>
      </c>
      <c r="W15" s="137"/>
      <c r="X15" s="33" t="s">
        <v>25</v>
      </c>
      <c r="Y15" s="34">
        <f t="shared" si="4"/>
        <v>137816</v>
      </c>
      <c r="Z15" s="35">
        <f t="shared" si="5"/>
        <v>957055.55555555539</v>
      </c>
    </row>
    <row r="16" spans="1:28" s="36" customFormat="1" ht="54" customHeight="1" thickBot="1">
      <c r="A16" s="167"/>
      <c r="B16" s="73" t="s">
        <v>44</v>
      </c>
      <c r="C16" s="74">
        <v>92</v>
      </c>
      <c r="D16" s="171"/>
      <c r="E16" s="174"/>
      <c r="F16" s="75">
        <f>45000/1008*V16*W7</f>
        <v>21562.500000000004</v>
      </c>
      <c r="G16" s="163"/>
      <c r="H16" s="76">
        <f>H11</f>
        <v>23</v>
      </c>
      <c r="I16" s="77">
        <f>I11</f>
        <v>23</v>
      </c>
      <c r="J16" s="77">
        <f t="shared" ref="J16:U16" si="9">J11</f>
        <v>23</v>
      </c>
      <c r="K16" s="77">
        <f t="shared" si="9"/>
        <v>23</v>
      </c>
      <c r="L16" s="77">
        <f t="shared" si="9"/>
        <v>23</v>
      </c>
      <c r="M16" s="77">
        <f t="shared" si="9"/>
        <v>23</v>
      </c>
      <c r="N16" s="77">
        <f t="shared" si="9"/>
        <v>23</v>
      </c>
      <c r="O16" s="77">
        <f t="shared" si="9"/>
        <v>23</v>
      </c>
      <c r="P16" s="77">
        <f t="shared" si="9"/>
        <v>23</v>
      </c>
      <c r="Q16" s="77">
        <f>Q11</f>
        <v>23</v>
      </c>
      <c r="R16" s="77">
        <f>R11</f>
        <v>23</v>
      </c>
      <c r="S16" s="77">
        <f t="shared" si="9"/>
        <v>23</v>
      </c>
      <c r="T16" s="77">
        <f t="shared" si="9"/>
        <v>23</v>
      </c>
      <c r="U16" s="77">
        <f t="shared" si="9"/>
        <v>23</v>
      </c>
      <c r="V16" s="78">
        <f t="shared" si="2"/>
        <v>322</v>
      </c>
      <c r="W16" s="137"/>
      <c r="X16" s="33" t="s">
        <v>25</v>
      </c>
      <c r="Y16" s="34">
        <f t="shared" si="4"/>
        <v>29624</v>
      </c>
      <c r="Z16" s="35">
        <f t="shared" si="5"/>
        <v>205722.22222222222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27</v>
      </c>
      <c r="F17" s="82">
        <f>SUM(F9:F16)</f>
        <v>367937.5</v>
      </c>
      <c r="G17" s="83">
        <f>SUM(G9:G13)</f>
        <v>200000</v>
      </c>
      <c r="H17" s="84">
        <f t="shared" ref="H17:U17" si="10">SUM(H9:H16)</f>
        <v>171</v>
      </c>
      <c r="I17" s="84">
        <f t="shared" si="10"/>
        <v>171</v>
      </c>
      <c r="J17" s="84">
        <f t="shared" si="10"/>
        <v>171</v>
      </c>
      <c r="K17" s="84">
        <f t="shared" si="10"/>
        <v>171</v>
      </c>
      <c r="L17" s="84">
        <f t="shared" si="10"/>
        <v>171</v>
      </c>
      <c r="M17" s="84">
        <f t="shared" si="10"/>
        <v>171</v>
      </c>
      <c r="N17" s="84">
        <f t="shared" si="10"/>
        <v>171</v>
      </c>
      <c r="O17" s="84">
        <f t="shared" si="10"/>
        <v>171</v>
      </c>
      <c r="P17" s="84">
        <f t="shared" si="10"/>
        <v>170</v>
      </c>
      <c r="Q17" s="84">
        <f t="shared" si="10"/>
        <v>170</v>
      </c>
      <c r="R17" s="84">
        <f t="shared" si="10"/>
        <v>170</v>
      </c>
      <c r="S17" s="84">
        <f t="shared" si="10"/>
        <v>170</v>
      </c>
      <c r="T17" s="84">
        <f t="shared" si="10"/>
        <v>170</v>
      </c>
      <c r="U17" s="84">
        <f t="shared" si="10"/>
        <v>170</v>
      </c>
      <c r="V17" s="85">
        <f>SUM(V7:V16)</f>
        <v>2388</v>
      </c>
      <c r="W17" s="138">
        <f>SUM(W9:W16)</f>
        <v>200000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10000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210000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58</v>
      </c>
      <c r="B29" s="179"/>
      <c r="C29" s="179"/>
      <c r="D29" s="122"/>
      <c r="E29" s="122"/>
      <c r="F29" s="122"/>
      <c r="G29" s="122"/>
      <c r="H29" s="123"/>
      <c r="I29" s="180" t="s">
        <v>34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59</v>
      </c>
      <c r="B30" s="179"/>
      <c r="C30" s="179"/>
      <c r="D30" s="122"/>
      <c r="E30" s="122"/>
      <c r="F30" s="122"/>
      <c r="G30" s="122"/>
      <c r="H30" s="124"/>
      <c r="I30" s="176" t="s">
        <v>35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60</v>
      </c>
      <c r="B31" s="175"/>
      <c r="C31" s="175"/>
      <c r="D31" s="123"/>
      <c r="E31" s="123"/>
      <c r="F31" s="123"/>
      <c r="G31" s="123"/>
      <c r="H31" s="124"/>
      <c r="I31" s="176" t="s">
        <v>36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A17:B17"/>
    <mergeCell ref="A29:C29"/>
    <mergeCell ref="I29:K29"/>
    <mergeCell ref="L29:O29"/>
    <mergeCell ref="A30:C30"/>
    <mergeCell ref="I30:N30"/>
    <mergeCell ref="A9:A10"/>
    <mergeCell ref="E9:E10"/>
    <mergeCell ref="G9:G16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3" priority="1" operator="containsText" text="日">
      <formula>NOT(ISERROR(SEARCH("日",H8)))</formula>
    </cfRule>
    <cfRule type="containsText" dxfId="2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3881-FBCA-4AC5-8790-095AEE4F1B51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D17" sqref="D17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61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0.65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1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45</v>
      </c>
      <c r="B9" s="54" t="s">
        <v>46</v>
      </c>
      <c r="C9" s="55" t="s">
        <v>48</v>
      </c>
      <c r="D9" s="129" t="s">
        <v>37</v>
      </c>
      <c r="E9" s="159" t="str">
        <f>B4</f>
        <v>10秒</v>
      </c>
      <c r="F9" s="56">
        <f>300000/420*V9*W6</f>
        <v>91000</v>
      </c>
      <c r="G9" s="161">
        <v>200000</v>
      </c>
      <c r="H9" s="57">
        <v>14</v>
      </c>
      <c r="I9" s="58">
        <f t="shared" ref="I9:U11" si="1">H9</f>
        <v>14</v>
      </c>
      <c r="J9" s="58">
        <f>I9</f>
        <v>14</v>
      </c>
      <c r="K9" s="58">
        <f t="shared" si="1"/>
        <v>14</v>
      </c>
      <c r="L9" s="58">
        <f>K9</f>
        <v>14</v>
      </c>
      <c r="M9" s="58">
        <f t="shared" si="1"/>
        <v>14</v>
      </c>
      <c r="N9" s="58">
        <f>M9</f>
        <v>14</v>
      </c>
      <c r="O9" s="58">
        <f>N9</f>
        <v>14</v>
      </c>
      <c r="P9" s="58">
        <f>O9</f>
        <v>14</v>
      </c>
      <c r="Q9" s="58">
        <f>P9</f>
        <v>14</v>
      </c>
      <c r="R9" s="58">
        <f>Q9</f>
        <v>14</v>
      </c>
      <c r="S9" s="58">
        <f>P9</f>
        <v>14</v>
      </c>
      <c r="T9" s="58">
        <f t="shared" si="1"/>
        <v>14</v>
      </c>
      <c r="U9" s="58">
        <f t="shared" si="1"/>
        <v>14</v>
      </c>
      <c r="V9" s="59">
        <f t="shared" ref="V9:V16" si="2">SUM(H9:U9)</f>
        <v>196</v>
      </c>
      <c r="W9" s="137">
        <f>250000/420*W6*V9</f>
        <v>75833.333333333328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47</v>
      </c>
      <c r="C10" s="61" t="s">
        <v>49</v>
      </c>
      <c r="D10" s="133" t="s">
        <v>38</v>
      </c>
      <c r="E10" s="160"/>
      <c r="F10" s="62" t="s">
        <v>39</v>
      </c>
      <c r="G10" s="162"/>
      <c r="H10" s="63">
        <v>24</v>
      </c>
      <c r="I10" s="64">
        <f>H10</f>
        <v>24</v>
      </c>
      <c r="J10" s="64">
        <f t="shared" si="1"/>
        <v>24</v>
      </c>
      <c r="K10" s="64">
        <f t="shared" si="1"/>
        <v>24</v>
      </c>
      <c r="L10" s="64">
        <f t="shared" si="1"/>
        <v>24</v>
      </c>
      <c r="M10" s="64">
        <f t="shared" si="1"/>
        <v>24</v>
      </c>
      <c r="N10" s="64">
        <f>M10</f>
        <v>24</v>
      </c>
      <c r="O10" s="64">
        <f t="shared" si="1"/>
        <v>24</v>
      </c>
      <c r="P10" s="64">
        <f t="shared" ref="P10:R11" si="3">O10</f>
        <v>24</v>
      </c>
      <c r="Q10" s="64">
        <f t="shared" si="3"/>
        <v>24</v>
      </c>
      <c r="R10" s="64">
        <f t="shared" si="3"/>
        <v>24</v>
      </c>
      <c r="S10" s="64">
        <f t="shared" ref="S10" si="4">P10</f>
        <v>24</v>
      </c>
      <c r="T10" s="64">
        <f t="shared" si="1"/>
        <v>24</v>
      </c>
      <c r="U10" s="64">
        <f>T10</f>
        <v>24</v>
      </c>
      <c r="V10" s="65">
        <f t="shared" si="2"/>
        <v>336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64</v>
      </c>
      <c r="B11" s="66" t="s">
        <v>66</v>
      </c>
      <c r="C11" s="67">
        <v>1209</v>
      </c>
      <c r="D11" s="182" t="s">
        <v>67</v>
      </c>
      <c r="E11" s="172" t="str">
        <f>B4</f>
        <v>10秒</v>
      </c>
      <c r="F11" s="68">
        <f>150000/1008*V11*W7</f>
        <v>77083.333333333328</v>
      </c>
      <c r="G11" s="162"/>
      <c r="H11" s="69">
        <v>37</v>
      </c>
      <c r="I11" s="70">
        <f>H11</f>
        <v>37</v>
      </c>
      <c r="J11" s="70">
        <f t="shared" si="1"/>
        <v>37</v>
      </c>
      <c r="K11" s="70">
        <f t="shared" si="1"/>
        <v>37</v>
      </c>
      <c r="L11" s="70">
        <f t="shared" si="1"/>
        <v>37</v>
      </c>
      <c r="M11" s="70">
        <f t="shared" si="1"/>
        <v>37</v>
      </c>
      <c r="N11" s="70">
        <f t="shared" si="1"/>
        <v>37</v>
      </c>
      <c r="O11" s="70">
        <f t="shared" si="1"/>
        <v>37</v>
      </c>
      <c r="P11" s="70">
        <f t="shared" si="3"/>
        <v>37</v>
      </c>
      <c r="Q11" s="70">
        <f t="shared" si="3"/>
        <v>37</v>
      </c>
      <c r="R11" s="70">
        <f t="shared" si="3"/>
        <v>37</v>
      </c>
      <c r="S11" s="70">
        <f>R11</f>
        <v>37</v>
      </c>
      <c r="T11" s="70">
        <f t="shared" si="1"/>
        <v>37</v>
      </c>
      <c r="U11" s="70">
        <f t="shared" si="1"/>
        <v>37</v>
      </c>
      <c r="V11" s="71">
        <f t="shared" si="2"/>
        <v>518</v>
      </c>
      <c r="W11" s="137">
        <f>120000/504*W7*V11</f>
        <v>123333.33333333334</v>
      </c>
      <c r="X11" s="33" t="s">
        <v>25</v>
      </c>
      <c r="Y11" s="34">
        <f t="shared" ref="Y11:Y16" si="5">V11*C11</f>
        <v>626262</v>
      </c>
      <c r="Z11" s="35">
        <f t="shared" ref="Z11:Z16" si="6">1000*(C11/24/6)*V11</f>
        <v>4349041.666666667</v>
      </c>
    </row>
    <row r="12" spans="1:28" s="13" customFormat="1" ht="54" customHeight="1" thickBot="1">
      <c r="A12" s="165"/>
      <c r="B12" s="60" t="s">
        <v>26</v>
      </c>
      <c r="C12" s="72">
        <v>660</v>
      </c>
      <c r="D12" s="169"/>
      <c r="E12" s="160"/>
      <c r="F12" s="62">
        <f>120000/1008*V11*W7</f>
        <v>61666.666666666672</v>
      </c>
      <c r="G12" s="162"/>
      <c r="H12" s="63">
        <f>H11</f>
        <v>37</v>
      </c>
      <c r="I12" s="64">
        <f>I11</f>
        <v>37</v>
      </c>
      <c r="J12" s="64">
        <f t="shared" ref="J12:U12" si="7">J11</f>
        <v>37</v>
      </c>
      <c r="K12" s="64">
        <f t="shared" si="7"/>
        <v>37</v>
      </c>
      <c r="L12" s="64">
        <f t="shared" si="7"/>
        <v>37</v>
      </c>
      <c r="M12" s="64">
        <f t="shared" si="7"/>
        <v>37</v>
      </c>
      <c r="N12" s="64">
        <f t="shared" si="7"/>
        <v>37</v>
      </c>
      <c r="O12" s="64">
        <f t="shared" si="7"/>
        <v>37</v>
      </c>
      <c r="P12" s="64">
        <f t="shared" si="7"/>
        <v>37</v>
      </c>
      <c r="Q12" s="64">
        <f>Q11</f>
        <v>37</v>
      </c>
      <c r="R12" s="64">
        <f>R11</f>
        <v>37</v>
      </c>
      <c r="S12" s="64">
        <f t="shared" si="7"/>
        <v>37</v>
      </c>
      <c r="T12" s="64">
        <f t="shared" si="7"/>
        <v>37</v>
      </c>
      <c r="U12" s="64">
        <f t="shared" si="7"/>
        <v>37</v>
      </c>
      <c r="V12" s="65">
        <f t="shared" si="2"/>
        <v>518</v>
      </c>
      <c r="W12" s="137"/>
      <c r="X12" s="33" t="s">
        <v>25</v>
      </c>
      <c r="Y12" s="34">
        <f t="shared" si="5"/>
        <v>341880</v>
      </c>
      <c r="Z12" s="35">
        <f t="shared" si="6"/>
        <v>2374166.6666666665</v>
      </c>
    </row>
    <row r="13" spans="1:28" s="13" customFormat="1" ht="54" customHeight="1" thickBot="1">
      <c r="A13" s="165"/>
      <c r="B13" s="60" t="s">
        <v>41</v>
      </c>
      <c r="C13" s="72">
        <v>579</v>
      </c>
      <c r="D13" s="169"/>
      <c r="E13" s="160"/>
      <c r="F13" s="62">
        <f>90000/1008*V13*W7</f>
        <v>46250</v>
      </c>
      <c r="G13" s="162"/>
      <c r="H13" s="63">
        <f>H11</f>
        <v>37</v>
      </c>
      <c r="I13" s="64">
        <f>I11</f>
        <v>37</v>
      </c>
      <c r="J13" s="64">
        <f t="shared" ref="J13:U13" si="8">J11</f>
        <v>37</v>
      </c>
      <c r="K13" s="64">
        <f t="shared" si="8"/>
        <v>37</v>
      </c>
      <c r="L13" s="64">
        <f t="shared" si="8"/>
        <v>37</v>
      </c>
      <c r="M13" s="64">
        <f t="shared" si="8"/>
        <v>37</v>
      </c>
      <c r="N13" s="64">
        <f t="shared" si="8"/>
        <v>37</v>
      </c>
      <c r="O13" s="64">
        <f t="shared" si="8"/>
        <v>37</v>
      </c>
      <c r="P13" s="64">
        <f t="shared" si="8"/>
        <v>37</v>
      </c>
      <c r="Q13" s="64">
        <f>Q11</f>
        <v>37</v>
      </c>
      <c r="R13" s="64">
        <f>R11</f>
        <v>37</v>
      </c>
      <c r="S13" s="64">
        <f t="shared" si="8"/>
        <v>37</v>
      </c>
      <c r="T13" s="64">
        <f t="shared" si="8"/>
        <v>37</v>
      </c>
      <c r="U13" s="64">
        <f t="shared" si="8"/>
        <v>37</v>
      </c>
      <c r="V13" s="65">
        <f t="shared" si="2"/>
        <v>518</v>
      </c>
      <c r="W13" s="137"/>
      <c r="X13" s="33" t="s">
        <v>25</v>
      </c>
      <c r="Y13" s="34">
        <f t="shared" si="5"/>
        <v>299922</v>
      </c>
      <c r="Z13" s="35">
        <f t="shared" si="6"/>
        <v>2082791.6666666665</v>
      </c>
    </row>
    <row r="14" spans="1:28" s="13" customFormat="1" ht="54" customHeight="1" thickBot="1">
      <c r="A14" s="166"/>
      <c r="B14" s="60" t="s">
        <v>43</v>
      </c>
      <c r="C14" s="72">
        <v>380</v>
      </c>
      <c r="D14" s="170"/>
      <c r="E14" s="173"/>
      <c r="F14" s="62">
        <f>75000/1008*V14*W7</f>
        <v>38541.666666666664</v>
      </c>
      <c r="G14" s="162"/>
      <c r="H14" s="63">
        <f t="shared" ref="H14:U15" si="9">H11</f>
        <v>37</v>
      </c>
      <c r="I14" s="64">
        <f t="shared" si="9"/>
        <v>37</v>
      </c>
      <c r="J14" s="64">
        <f t="shared" si="9"/>
        <v>37</v>
      </c>
      <c r="K14" s="64">
        <f t="shared" si="9"/>
        <v>37</v>
      </c>
      <c r="L14" s="64">
        <f t="shared" si="9"/>
        <v>37</v>
      </c>
      <c r="M14" s="64">
        <f t="shared" si="9"/>
        <v>37</v>
      </c>
      <c r="N14" s="64">
        <f t="shared" si="9"/>
        <v>37</v>
      </c>
      <c r="O14" s="64">
        <f t="shared" si="9"/>
        <v>37</v>
      </c>
      <c r="P14" s="64">
        <f t="shared" si="9"/>
        <v>37</v>
      </c>
      <c r="Q14" s="64">
        <f>Q11</f>
        <v>37</v>
      </c>
      <c r="R14" s="64">
        <f>R11</f>
        <v>37</v>
      </c>
      <c r="S14" s="64">
        <f t="shared" si="9"/>
        <v>37</v>
      </c>
      <c r="T14" s="64">
        <f t="shared" si="9"/>
        <v>37</v>
      </c>
      <c r="U14" s="64">
        <f t="shared" si="9"/>
        <v>37</v>
      </c>
      <c r="V14" s="65">
        <f t="shared" si="2"/>
        <v>518</v>
      </c>
      <c r="W14" s="137"/>
      <c r="X14" s="33" t="s">
        <v>25</v>
      </c>
      <c r="Y14" s="34">
        <f t="shared" si="5"/>
        <v>196840</v>
      </c>
      <c r="Z14" s="35">
        <f t="shared" si="6"/>
        <v>1366944.4444444443</v>
      </c>
    </row>
    <row r="15" spans="1:28" s="13" customFormat="1" ht="54" customHeight="1" thickBot="1">
      <c r="A15" s="166"/>
      <c r="B15" s="60" t="s">
        <v>42</v>
      </c>
      <c r="C15" s="72">
        <v>428</v>
      </c>
      <c r="D15" s="170"/>
      <c r="E15" s="173"/>
      <c r="F15" s="62">
        <f>75000/1008*V15*W7</f>
        <v>38541.666666666664</v>
      </c>
      <c r="G15" s="162"/>
      <c r="H15" s="63">
        <f t="shared" si="9"/>
        <v>37</v>
      </c>
      <c r="I15" s="64">
        <f t="shared" si="9"/>
        <v>37</v>
      </c>
      <c r="J15" s="64">
        <f t="shared" si="9"/>
        <v>37</v>
      </c>
      <c r="K15" s="64">
        <f t="shared" si="9"/>
        <v>37</v>
      </c>
      <c r="L15" s="64">
        <f t="shared" si="9"/>
        <v>37</v>
      </c>
      <c r="M15" s="64">
        <f t="shared" si="9"/>
        <v>37</v>
      </c>
      <c r="N15" s="64">
        <f t="shared" si="9"/>
        <v>37</v>
      </c>
      <c r="O15" s="64">
        <f t="shared" si="9"/>
        <v>37</v>
      </c>
      <c r="P15" s="64">
        <f t="shared" si="9"/>
        <v>37</v>
      </c>
      <c r="Q15" s="64">
        <f>Q11</f>
        <v>37</v>
      </c>
      <c r="R15" s="64">
        <f>R11</f>
        <v>37</v>
      </c>
      <c r="S15" s="64">
        <f t="shared" si="9"/>
        <v>37</v>
      </c>
      <c r="T15" s="64">
        <f t="shared" si="9"/>
        <v>37</v>
      </c>
      <c r="U15" s="64">
        <f t="shared" si="9"/>
        <v>37</v>
      </c>
      <c r="V15" s="65">
        <f t="shared" si="2"/>
        <v>518</v>
      </c>
      <c r="W15" s="137"/>
      <c r="X15" s="33" t="s">
        <v>25</v>
      </c>
      <c r="Y15" s="34">
        <f t="shared" si="5"/>
        <v>221704</v>
      </c>
      <c r="Z15" s="35">
        <f t="shared" si="6"/>
        <v>1539611.1111111108</v>
      </c>
    </row>
    <row r="16" spans="1:28" s="36" customFormat="1" ht="54" customHeight="1" thickBot="1">
      <c r="A16" s="167"/>
      <c r="B16" s="73" t="s">
        <v>44</v>
      </c>
      <c r="C16" s="74">
        <v>92</v>
      </c>
      <c r="D16" s="171"/>
      <c r="E16" s="174"/>
      <c r="F16" s="75">
        <f>45000/1008*V16*W7</f>
        <v>23125</v>
      </c>
      <c r="G16" s="163"/>
      <c r="H16" s="76">
        <f>H11</f>
        <v>37</v>
      </c>
      <c r="I16" s="77">
        <f>I11</f>
        <v>37</v>
      </c>
      <c r="J16" s="77">
        <f t="shared" ref="J16:U16" si="10">J11</f>
        <v>37</v>
      </c>
      <c r="K16" s="77">
        <f t="shared" si="10"/>
        <v>37</v>
      </c>
      <c r="L16" s="77">
        <f t="shared" si="10"/>
        <v>37</v>
      </c>
      <c r="M16" s="77">
        <f t="shared" si="10"/>
        <v>37</v>
      </c>
      <c r="N16" s="77">
        <f t="shared" si="10"/>
        <v>37</v>
      </c>
      <c r="O16" s="77">
        <f t="shared" si="10"/>
        <v>37</v>
      </c>
      <c r="P16" s="77">
        <f t="shared" si="10"/>
        <v>37</v>
      </c>
      <c r="Q16" s="77">
        <f>Q11</f>
        <v>37</v>
      </c>
      <c r="R16" s="77">
        <f>R11</f>
        <v>37</v>
      </c>
      <c r="S16" s="77">
        <f t="shared" si="10"/>
        <v>37</v>
      </c>
      <c r="T16" s="77">
        <f t="shared" si="10"/>
        <v>37</v>
      </c>
      <c r="U16" s="77">
        <f t="shared" si="10"/>
        <v>37</v>
      </c>
      <c r="V16" s="78">
        <f t="shared" si="2"/>
        <v>518</v>
      </c>
      <c r="W16" s="137"/>
      <c r="X16" s="33" t="s">
        <v>25</v>
      </c>
      <c r="Y16" s="34">
        <f t="shared" si="5"/>
        <v>47656</v>
      </c>
      <c r="Z16" s="35">
        <f t="shared" si="6"/>
        <v>330944.44444444444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27</v>
      </c>
      <c r="F17" s="82">
        <f>SUM(F9:F16)</f>
        <v>376208.33333333337</v>
      </c>
      <c r="G17" s="83">
        <f>SUM(G9:G13)</f>
        <v>200000</v>
      </c>
      <c r="H17" s="84">
        <f t="shared" ref="H17:U17" si="11">SUM(H9:H16)</f>
        <v>260</v>
      </c>
      <c r="I17" s="84">
        <f t="shared" si="11"/>
        <v>260</v>
      </c>
      <c r="J17" s="84">
        <f t="shared" si="11"/>
        <v>260</v>
      </c>
      <c r="K17" s="84">
        <f t="shared" si="11"/>
        <v>260</v>
      </c>
      <c r="L17" s="84">
        <f t="shared" si="11"/>
        <v>260</v>
      </c>
      <c r="M17" s="84">
        <f t="shared" si="11"/>
        <v>260</v>
      </c>
      <c r="N17" s="84">
        <f t="shared" si="11"/>
        <v>260</v>
      </c>
      <c r="O17" s="84">
        <f t="shared" si="11"/>
        <v>260</v>
      </c>
      <c r="P17" s="84">
        <f t="shared" si="11"/>
        <v>260</v>
      </c>
      <c r="Q17" s="84">
        <f t="shared" si="11"/>
        <v>260</v>
      </c>
      <c r="R17" s="84">
        <f t="shared" si="11"/>
        <v>260</v>
      </c>
      <c r="S17" s="84">
        <f t="shared" si="11"/>
        <v>260</v>
      </c>
      <c r="T17" s="84">
        <f t="shared" si="11"/>
        <v>260</v>
      </c>
      <c r="U17" s="84">
        <f t="shared" si="11"/>
        <v>260</v>
      </c>
      <c r="V17" s="85">
        <f>SUM(V7:V16)</f>
        <v>3640</v>
      </c>
      <c r="W17" s="138">
        <f>SUM(W9:W16)</f>
        <v>199166.66666666669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10000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210000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58</v>
      </c>
      <c r="B29" s="179"/>
      <c r="C29" s="179"/>
      <c r="D29" s="122"/>
      <c r="E29" s="122"/>
      <c r="F29" s="122"/>
      <c r="G29" s="122"/>
      <c r="H29" s="123"/>
      <c r="I29" s="180" t="s">
        <v>34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59</v>
      </c>
      <c r="B30" s="179"/>
      <c r="C30" s="179"/>
      <c r="D30" s="122"/>
      <c r="E30" s="122"/>
      <c r="F30" s="122"/>
      <c r="G30" s="122"/>
      <c r="H30" s="124"/>
      <c r="I30" s="176" t="s">
        <v>35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60</v>
      </c>
      <c r="B31" s="175"/>
      <c r="C31" s="175"/>
      <c r="D31" s="123"/>
      <c r="E31" s="123"/>
      <c r="F31" s="123"/>
      <c r="G31" s="123"/>
      <c r="H31" s="124"/>
      <c r="I31" s="176" t="s">
        <v>36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A17:B17"/>
    <mergeCell ref="A29:C29"/>
    <mergeCell ref="I29:K29"/>
    <mergeCell ref="L29:O29"/>
    <mergeCell ref="A30:C30"/>
    <mergeCell ref="I30:N30"/>
    <mergeCell ref="A9:A10"/>
    <mergeCell ref="E9:E10"/>
    <mergeCell ref="G9:G16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1" priority="1" operator="containsText" text="日">
      <formula>NOT(ISERROR(SEARCH("日",H8)))</formula>
    </cfRule>
    <cfRule type="containsText" dxfId="0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8</vt:i4>
      </vt:variant>
    </vt:vector>
  </HeadingPairs>
  <TitlesOfParts>
    <vt:vector size="12" baseType="lpstr">
      <vt:lpstr>20萬版-30秒版</vt:lpstr>
      <vt:lpstr>20萬版-20秒版</vt:lpstr>
      <vt:lpstr>20萬版-15秒版</vt:lpstr>
      <vt:lpstr>20萬版-10秒版 </vt:lpstr>
      <vt:lpstr>'20萬版-10秒版 '!Print_Area</vt:lpstr>
      <vt:lpstr>'20萬版-15秒版'!Print_Area</vt:lpstr>
      <vt:lpstr>'20萬版-20秒版'!Print_Area</vt:lpstr>
      <vt:lpstr>'20萬版-30秒版'!Print_Area</vt:lpstr>
      <vt:lpstr>'20萬版-10秒版 '!Print_Titles</vt:lpstr>
      <vt:lpstr>'20萬版-15秒版'!Print_Titles</vt:lpstr>
      <vt:lpstr>'20萬版-20秒版'!Print_Titles</vt:lpstr>
      <vt:lpstr>'20萬版-30秒版'!Print_Titles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cp:lastPrinted>2025-12-29T08:22:54Z</cp:lastPrinted>
  <dcterms:created xsi:type="dcterms:W3CDTF">2025-09-26T08:25:35Z</dcterms:created>
  <dcterms:modified xsi:type="dcterms:W3CDTF">2026-09-02T02:45:41Z</dcterms:modified>
</cp:coreProperties>
</file>