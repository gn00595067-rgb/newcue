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8_{F46CDF3E-E390-465F-809D-928997FDF87E}" xr6:coauthVersionLast="47" xr6:coauthVersionMax="47" xr10:uidLastSave="{00000000-0000-0000-0000-000000000000}"/>
  <bookViews>
    <workbookView xWindow="-93" yWindow="-93" windowWidth="25786" windowHeight="13866" activeTab="3" xr2:uid="{20C7D9E4-A918-4AE2-B648-D96B73F66A00}"/>
  </bookViews>
  <sheets>
    <sheet name="全家-30秒" sheetId="4" r:id="rId1"/>
    <sheet name="全家-20秒" sheetId="3" r:id="rId2"/>
    <sheet name="全家-15秒" sheetId="1" r:id="rId3"/>
    <sheet name="全家-10秒" sheetId="2" r:id="rId4"/>
  </sheets>
  <definedNames>
    <definedName name="_xlnm.Print_Area" localSheetId="3">'全家-10秒'!$A$1:$AF$32</definedName>
    <definedName name="_xlnm.Print_Area" localSheetId="2">'全家-15秒'!$A$1:$AF$32</definedName>
    <definedName name="_xlnm.Print_Area" localSheetId="1">'全家-20秒'!$A$1:$AF$32</definedName>
    <definedName name="_xlnm.Print_Area" localSheetId="0">'全家-30秒'!$A$1:$AF$32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1" i="4" l="1"/>
  <c r="O9" i="4"/>
  <c r="J14" i="4"/>
  <c r="L11" i="4"/>
  <c r="M11" i="4" s="1"/>
  <c r="G11" i="4"/>
  <c r="F11" i="4"/>
  <c r="L10" i="4"/>
  <c r="M10" i="4" s="1"/>
  <c r="N10" i="4" s="1"/>
  <c r="O10" i="4" s="1"/>
  <c r="G10" i="4"/>
  <c r="F10" i="4"/>
  <c r="C10" i="4"/>
  <c r="L9" i="4"/>
  <c r="M9" i="4" s="1"/>
  <c r="N9" i="4" s="1"/>
  <c r="G9" i="4"/>
  <c r="F9" i="4"/>
  <c r="L8" i="4"/>
  <c r="M8" i="4" s="1"/>
  <c r="N8" i="4" s="1"/>
  <c r="G8" i="4"/>
  <c r="F8" i="4"/>
  <c r="L6" i="4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E11" i="3"/>
  <c r="J16" i="3"/>
  <c r="J17" i="3" s="1"/>
  <c r="J14" i="3"/>
  <c r="L11" i="3"/>
  <c r="M11" i="3" s="1"/>
  <c r="N11" i="3" s="1"/>
  <c r="G11" i="3"/>
  <c r="F11" i="3"/>
  <c r="L10" i="3"/>
  <c r="G10" i="3"/>
  <c r="F10" i="3"/>
  <c r="C10" i="3"/>
  <c r="L9" i="3"/>
  <c r="M9" i="3" s="1"/>
  <c r="G9" i="3"/>
  <c r="F9" i="3"/>
  <c r="AB8" i="3"/>
  <c r="AC8" i="3" s="1"/>
  <c r="AD8" i="3" s="1"/>
  <c r="AE8" i="3" s="1"/>
  <c r="AF8" i="3" s="1"/>
  <c r="L8" i="3"/>
  <c r="G8" i="3"/>
  <c r="F8" i="3"/>
  <c r="L6" i="3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B14" i="2"/>
  <c r="O11" i="4" l="1"/>
  <c r="P11" i="4" s="1"/>
  <c r="Q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P9" i="4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O8" i="4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D8" i="4" s="1"/>
  <c r="AE8" i="4" s="1"/>
  <c r="AF8" i="4" s="1"/>
  <c r="P10" i="4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B10" i="4" s="1"/>
  <c r="AC10" i="4" s="1"/>
  <c r="AD10" i="4" s="1"/>
  <c r="AE10" i="4" s="1"/>
  <c r="AF10" i="4" s="1"/>
  <c r="J16" i="4"/>
  <c r="J17" i="4" s="1"/>
  <c r="O11" i="3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N9" i="3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N10" i="3"/>
  <c r="M8" i="3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H11" i="4" l="1"/>
  <c r="I11" i="4" s="1"/>
  <c r="H9" i="4"/>
  <c r="I9" i="4" s="1"/>
  <c r="H8" i="4"/>
  <c r="I8" i="4" s="1"/>
  <c r="H10" i="4"/>
  <c r="I10" i="4" s="1"/>
  <c r="O10" i="3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H8" i="3"/>
  <c r="I8" i="3" s="1"/>
  <c r="H9" i="3"/>
  <c r="I9" i="3" s="1"/>
  <c r="H11" i="3"/>
  <c r="I11" i="3" s="1"/>
  <c r="B14" i="4" l="1"/>
  <c r="B15" i="4" s="1"/>
  <c r="H10" i="3"/>
  <c r="I10" i="3" s="1"/>
  <c r="B14" i="3"/>
  <c r="B15" i="3" s="1"/>
  <c r="AC11" i="2"/>
  <c r="AD11" i="2" s="1"/>
  <c r="Y11" i="2"/>
  <c r="Z11" i="2" s="1"/>
  <c r="AA11" i="2" s="1"/>
  <c r="AB11" i="2" s="1"/>
  <c r="W9" i="2"/>
  <c r="X9" i="2" s="1"/>
  <c r="Y9" i="2" s="1"/>
  <c r="Z9" i="2" s="1"/>
  <c r="AA9" i="2" s="1"/>
  <c r="AB9" i="2" s="1"/>
  <c r="AD9" i="2" s="1"/>
  <c r="AE9" i="2" s="1"/>
  <c r="AF9" i="2" s="1"/>
  <c r="J14" i="2"/>
  <c r="L11" i="2"/>
  <c r="M11" i="2" s="1"/>
  <c r="G11" i="2"/>
  <c r="F11" i="2"/>
  <c r="L10" i="2"/>
  <c r="M10" i="2" s="1"/>
  <c r="G10" i="2"/>
  <c r="F10" i="2"/>
  <c r="C10" i="2"/>
  <c r="L9" i="2"/>
  <c r="M9" i="2" s="1"/>
  <c r="G9" i="2"/>
  <c r="F9" i="2"/>
  <c r="L8" i="2"/>
  <c r="M8" i="2" s="1"/>
  <c r="G8" i="2"/>
  <c r="F8" i="2"/>
  <c r="L6" i="2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J14" i="1"/>
  <c r="J16" i="1" s="1"/>
  <c r="J17" i="1" s="1"/>
  <c r="AD11" i="1"/>
  <c r="AE11" i="1" s="1"/>
  <c r="AF11" i="1" s="1"/>
  <c r="Z11" i="1"/>
  <c r="AA11" i="1" s="1"/>
  <c r="AB11" i="1" s="1"/>
  <c r="L11" i="1"/>
  <c r="M11" i="1" s="1"/>
  <c r="G11" i="1"/>
  <c r="F11" i="1"/>
  <c r="V10" i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L10" i="1"/>
  <c r="M10" i="1" s="1"/>
  <c r="N10" i="1" s="1"/>
  <c r="O10" i="1" s="1"/>
  <c r="P10" i="1" s="1"/>
  <c r="Q10" i="1" s="1"/>
  <c r="R10" i="1" s="1"/>
  <c r="S10" i="1" s="1"/>
  <c r="T10" i="1" s="1"/>
  <c r="G10" i="1"/>
  <c r="F10" i="1"/>
  <c r="C10" i="1"/>
  <c r="X9" i="1"/>
  <c r="Y9" i="1" s="1"/>
  <c r="Z9" i="1" s="1"/>
  <c r="AA9" i="1" s="1"/>
  <c r="AB9" i="1" s="1"/>
  <c r="AC9" i="1" s="1"/>
  <c r="AD9" i="1" s="1"/>
  <c r="AE9" i="1" s="1"/>
  <c r="AF9" i="1" s="1"/>
  <c r="L9" i="1"/>
  <c r="M9" i="1" s="1"/>
  <c r="G9" i="1"/>
  <c r="F9" i="1"/>
  <c r="Z8" i="1"/>
  <c r="AA8" i="1" s="1"/>
  <c r="AB8" i="1" s="1"/>
  <c r="AC8" i="1" s="1"/>
  <c r="AD8" i="1" s="1"/>
  <c r="AE8" i="1" s="1"/>
  <c r="AF8" i="1" s="1"/>
  <c r="L8" i="1"/>
  <c r="M8" i="1" s="1"/>
  <c r="G8" i="1"/>
  <c r="F8" i="1"/>
  <c r="L6" i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N8" i="2" l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B8" i="2" s="1"/>
  <c r="AC8" i="2" s="1"/>
  <c r="AD8" i="2" s="1"/>
  <c r="AE8" i="2" s="1"/>
  <c r="AF8" i="2" s="1"/>
  <c r="N11" i="2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H11" i="2" s="1"/>
  <c r="I11" i="2" s="1"/>
  <c r="N9" i="2"/>
  <c r="O9" i="2" s="1"/>
  <c r="P9" i="2" s="1"/>
  <c r="Q9" i="2" s="1"/>
  <c r="R9" i="2" s="1"/>
  <c r="S9" i="2" s="1"/>
  <c r="T9" i="2" s="1"/>
  <c r="U9" i="2" s="1"/>
  <c r="V9" i="2" s="1"/>
  <c r="H9" i="2"/>
  <c r="I9" i="2" s="1"/>
  <c r="N10" i="2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J16" i="2"/>
  <c r="J17" i="2" s="1"/>
  <c r="N11" i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H11" i="1"/>
  <c r="I11" i="1" s="1"/>
  <c r="N9" i="1"/>
  <c r="O9" i="1" s="1"/>
  <c r="P9" i="1" s="1"/>
  <c r="Q9" i="1" s="1"/>
  <c r="R9" i="1" s="1"/>
  <c r="S9" i="1" s="1"/>
  <c r="T9" i="1" s="1"/>
  <c r="U9" i="1" s="1"/>
  <c r="V9" i="1" s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H10" i="1"/>
  <c r="I10" i="1" s="1"/>
  <c r="H8" i="2" l="1"/>
  <c r="I8" i="2" s="1"/>
  <c r="H10" i="2"/>
  <c r="I10" i="2" s="1"/>
  <c r="H8" i="1"/>
  <c r="I8" i="1" s="1"/>
  <c r="H9" i="1"/>
  <c r="I9" i="1" s="1"/>
  <c r="B15" i="2" l="1"/>
  <c r="B14" i="1"/>
  <c r="B15" i="1" s="1"/>
</calcChain>
</file>

<file path=xl/sharedStrings.xml><?xml version="1.0" encoding="utf-8"?>
<sst xmlns="http://schemas.openxmlformats.org/spreadsheetml/2006/main" count="292" uniqueCount="54">
  <si>
    <t>凱絡媒體服務(股)公司廣播媒體排期表</t>
    <phoneticPr fontId="3" type="noConversion"/>
  </si>
  <si>
    <t>客   戶：</t>
    <phoneticPr fontId="3" type="noConversion"/>
  </si>
  <si>
    <t>統一</t>
    <phoneticPr fontId="3" type="noConversion"/>
  </si>
  <si>
    <t xml:space="preserve"> </t>
    <phoneticPr fontId="3" type="noConversion"/>
  </si>
  <si>
    <t>產   品：</t>
    <phoneticPr fontId="3" type="noConversion"/>
  </si>
  <si>
    <t>麥香</t>
    <phoneticPr fontId="3" type="noConversion"/>
  </si>
  <si>
    <t>2026年8月</t>
    <phoneticPr fontId="3" type="noConversion"/>
  </si>
  <si>
    <t>日   期：</t>
    <phoneticPr fontId="3" type="noConversion"/>
  </si>
  <si>
    <t>2026/08/31</t>
    <phoneticPr fontId="3" type="noConversion"/>
  </si>
  <si>
    <t>媒體別</t>
    <phoneticPr fontId="3" type="noConversion"/>
  </si>
  <si>
    <t>地區</t>
    <phoneticPr fontId="3" type="noConversion"/>
  </si>
  <si>
    <t>時段</t>
    <phoneticPr fontId="3" type="noConversion"/>
  </si>
  <si>
    <t>素材</t>
    <phoneticPr fontId="3" type="noConversion"/>
  </si>
  <si>
    <t>定價
(檔/Net)</t>
    <phoneticPr fontId="3" type="noConversion"/>
  </si>
  <si>
    <t>市場價
(檔/Net)</t>
    <phoneticPr fontId="3" type="noConversion"/>
  </si>
  <si>
    <t>統一價
(檔/Net)</t>
    <phoneticPr fontId="3" type="noConversion"/>
  </si>
  <si>
    <t>檔數</t>
    <phoneticPr fontId="3" type="noConversion"/>
  </si>
  <si>
    <t>總價</t>
    <phoneticPr fontId="3" type="noConversion"/>
  </si>
  <si>
    <t>專案價
(Net)</t>
  </si>
  <si>
    <t>Sep</t>
    <phoneticPr fontId="2" type="noConversion"/>
  </si>
  <si>
    <t>M</t>
    <phoneticPr fontId="11" type="noConversion"/>
  </si>
  <si>
    <t>T</t>
    <phoneticPr fontId="11" type="noConversion"/>
  </si>
  <si>
    <t>W</t>
    <phoneticPr fontId="11" type="noConversion"/>
  </si>
  <si>
    <t>F</t>
    <phoneticPr fontId="2" type="noConversion"/>
  </si>
  <si>
    <t>S</t>
    <phoneticPr fontId="3" type="noConversion"/>
  </si>
  <si>
    <t>全台 全家便利商店
(企業頻道節目播放)</t>
    <phoneticPr fontId="3" type="noConversion"/>
  </si>
  <si>
    <t>全台
全家便利商店</t>
    <phoneticPr fontId="2" type="noConversion"/>
  </si>
  <si>
    <t>0700-2300</t>
    <phoneticPr fontId="13" type="noConversion"/>
  </si>
  <si>
    <t>15"CM</t>
    <phoneticPr fontId="2" type="noConversion"/>
  </si>
  <si>
    <t>專案回饋</t>
    <phoneticPr fontId="2" type="noConversion"/>
  </si>
  <si>
    <t>媒體總價值(NET)</t>
    <phoneticPr fontId="2" type="noConversion"/>
  </si>
  <si>
    <t>Sub-Total</t>
  </si>
  <si>
    <t>優惠總價值(NET)</t>
    <phoneticPr fontId="2" type="noConversion"/>
  </si>
  <si>
    <t>A.C     3%</t>
  </si>
  <si>
    <t>-</t>
    <phoneticPr fontId="3" type="noConversion"/>
  </si>
  <si>
    <t>VAT    5%</t>
  </si>
  <si>
    <t>Grand-Total</t>
  </si>
  <si>
    <t xml:space="preserve">部主管：_________ </t>
    <phoneticPr fontId="2" type="noConversion"/>
  </si>
  <si>
    <t xml:space="preserve">課主管：_________ </t>
  </si>
  <si>
    <t>媒體窗口：_________</t>
  </si>
  <si>
    <t>承辦PM：_________</t>
    <phoneticPr fontId="3" type="noConversion"/>
  </si>
  <si>
    <t>備     註</t>
    <phoneticPr fontId="3" type="noConversion"/>
  </si>
  <si>
    <t>1.更改媒體排期表請於播出前十個工作天通知。</t>
    <phoneticPr fontId="3" type="noConversion"/>
  </si>
  <si>
    <t>2.以上報價僅適用於本次的專案優惠價，而非代表媒體單次購買價格；若中途停Cue，則已執行之廣告檔次，以單檔單次計費。</t>
    <phoneticPr fontId="3" type="noConversion"/>
  </si>
  <si>
    <t>3.客戶選擇凱絡公司提供的媒體服務，客戶並同意接受凱絡公司的條款（CARAT TERMS OF BUSINESS）的約束。 CARAT TERMS OF BUSINESS網址：http://file.carat.com.tw/legal/Carat_terms_of_business.pdf。</t>
    <phoneticPr fontId="2" type="noConversion"/>
  </si>
  <si>
    <t>4.請於9/1(二)中午前簽回Cue表確認，並傳真至(02)2717-3011，謝謝</t>
    <phoneticPr fontId="2" type="noConversion"/>
  </si>
  <si>
    <t>5.請款說明：9月媒體費$250,000(Net)</t>
    <phoneticPr fontId="2" type="noConversion"/>
  </si>
  <si>
    <t>6.■以下請PM填寫：</t>
    <phoneticPr fontId="2" type="noConversion"/>
  </si>
  <si>
    <t>★廣告稿件已送品牌創意檢視表電子化系統核准製作?</t>
    <phoneticPr fontId="2" type="noConversion"/>
  </si>
  <si>
    <t xml:space="preserve">□是，文件編號__________________費用分攤明細__________________。      </t>
    <phoneticPr fontId="2" type="noConversion"/>
  </si>
  <si>
    <t>□否，請於上CUE前完成電子流程送簽。</t>
    <phoneticPr fontId="2" type="noConversion"/>
  </si>
  <si>
    <t>10"CM</t>
    <phoneticPr fontId="2" type="noConversion"/>
  </si>
  <si>
    <t>20"CM</t>
    <phoneticPr fontId="2" type="noConversion"/>
  </si>
  <si>
    <t>30"CM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</si>
</sst>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$&quot;* #,##0_-;\-&quot;$&quot;* #,##0_-;_-&quot;$&quot;* &quot;-&quot;_-;_-@_-"/>
    <numFmt numFmtId="176" formatCode="#,##0;[Red]#,##0"/>
    <numFmt numFmtId="177" formatCode="#,##0.00;[Red]#,##0.00"/>
    <numFmt numFmtId="178" formatCode="_-\$* #,##0.00_-;&quot;-$&quot;* #,##0.00_-;_-\$* \-??_-;_-@_-"/>
    <numFmt numFmtId="179" formatCode="_-\$* #,##0_-;&quot;-$&quot;* #,##0_-;_-\$* \-??_-;_-@_-"/>
    <numFmt numFmtId="180" formatCode="&quot;$&quot;#,##0_);[Red]\(&quot;$&quot;#,##0\)"/>
    <numFmt numFmtId="181" formatCode="_-&quot;$&quot;* #,##0_-;\-&quot;$&quot;* #,##0_-;_-&quot;$&quot;* &quot;-&quot;??_-;_-@_-"/>
    <numFmt numFmtId="182" formatCode="_-* #,##0.00_-;\-* #,##0.00_-;_-* \-??_-;_-@_-"/>
    <numFmt numFmtId="183" formatCode="0_);[Red]\(0\)"/>
    <numFmt numFmtId="184" formatCode="0_ "/>
    <numFmt numFmtId="185" formatCode="&quot;$&quot;#,##0_);\(&quot;$&quot;#,##0\)"/>
  </numFmts>
  <fonts count="16">
    <font>
      <sz val="12"/>
      <name val="Arial"/>
      <family val="2"/>
    </font>
    <font>
      <b/>
      <sz val="16"/>
      <color theme="1"/>
      <name val="微軟正黑體"/>
      <family val="2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Courier"/>
      <family val="3"/>
    </font>
    <font>
      <sz val="12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Wawati TC"/>
      <family val="3"/>
      <charset val="136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rgb="FF0000FF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rgb="FFFFFF00"/>
        <bgColor indexed="3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2">
    <xf numFmtId="0" fontId="0" fillId="0" borderId="0"/>
    <xf numFmtId="3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7" fillId="0" borderId="0"/>
    <xf numFmtId="0" fontId="8" fillId="0" borderId="0"/>
    <xf numFmtId="178" fontId="8" fillId="0" borderId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82" fontId="8" fillId="0" borderId="0" applyFill="0" applyBorder="0" applyAlignment="0" applyProtection="0"/>
    <xf numFmtId="0" fontId="8" fillId="0" borderId="0">
      <alignment vertical="center"/>
    </xf>
  </cellStyleXfs>
  <cellXfs count="160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76" fontId="4" fillId="0" borderId="0" xfId="0" applyNumberFormat="1" applyFont="1"/>
    <xf numFmtId="177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76" fontId="5" fillId="0" borderId="0" xfId="0" applyNumberFormat="1" applyFont="1"/>
    <xf numFmtId="177" fontId="5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38" fontId="6" fillId="3" borderId="0" xfId="3" applyNumberFormat="1" applyFont="1" applyFill="1" applyAlignment="1">
      <alignment horizontal="right" vertical="center"/>
    </xf>
    <xf numFmtId="38" fontId="6" fillId="3" borderId="0" xfId="3" quotePrefix="1" applyNumberFormat="1" applyFont="1" applyFill="1" applyAlignment="1">
      <alignment vertical="center"/>
    </xf>
    <xf numFmtId="0" fontId="9" fillId="4" borderId="1" xfId="4" applyFont="1" applyFill="1" applyBorder="1" applyAlignment="1">
      <alignment horizontal="center" vertical="center"/>
    </xf>
    <xf numFmtId="0" fontId="9" fillId="4" borderId="2" xfId="4" applyFont="1" applyFill="1" applyBorder="1" applyAlignment="1">
      <alignment horizontal="center" vertical="center"/>
    </xf>
    <xf numFmtId="0" fontId="9" fillId="4" borderId="3" xfId="4" applyFont="1" applyFill="1" applyBorder="1" applyAlignment="1">
      <alignment horizontal="center" vertical="center"/>
    </xf>
    <xf numFmtId="0" fontId="9" fillId="4" borderId="4" xfId="4" applyFont="1" applyFill="1" applyBorder="1" applyAlignment="1">
      <alignment horizontal="center" vertical="center"/>
    </xf>
    <xf numFmtId="38" fontId="9" fillId="4" borderId="4" xfId="4" applyNumberFormat="1" applyFont="1" applyFill="1" applyBorder="1" applyAlignment="1">
      <alignment horizontal="center" vertical="center" wrapText="1"/>
    </xf>
    <xf numFmtId="0" fontId="9" fillId="4" borderId="4" xfId="4" applyFont="1" applyFill="1" applyBorder="1" applyAlignment="1">
      <alignment horizontal="center" vertical="center" wrapText="1"/>
    </xf>
    <xf numFmtId="179" fontId="9" fillId="4" borderId="5" xfId="5" applyNumberFormat="1" applyFont="1" applyFill="1" applyBorder="1" applyAlignment="1" applyProtection="1">
      <alignment horizontal="center" vertical="center" wrapText="1"/>
    </xf>
    <xf numFmtId="40" fontId="10" fillId="4" borderId="1" xfId="6" applyNumberFormat="1" applyFont="1" applyFill="1" applyBorder="1" applyAlignment="1">
      <alignment horizontal="left" vertical="center"/>
    </xf>
    <xf numFmtId="40" fontId="10" fillId="4" borderId="6" xfId="6" applyNumberFormat="1" applyFont="1" applyFill="1" applyBorder="1" applyAlignment="1">
      <alignment horizontal="left" vertical="center"/>
    </xf>
    <xf numFmtId="40" fontId="10" fillId="4" borderId="7" xfId="6" applyNumberFormat="1" applyFont="1" applyFill="1" applyBorder="1" applyAlignment="1">
      <alignment horizontal="left" vertical="center"/>
    </xf>
    <xf numFmtId="0" fontId="9" fillId="0" borderId="0" xfId="7" applyFont="1" applyAlignment="1">
      <alignment vertical="center"/>
    </xf>
    <xf numFmtId="0" fontId="9" fillId="4" borderId="8" xfId="4" applyFont="1" applyFill="1" applyBorder="1" applyAlignment="1">
      <alignment horizontal="center" vertical="center"/>
    </xf>
    <xf numFmtId="0" fontId="9" fillId="4" borderId="9" xfId="4" applyFont="1" applyFill="1" applyBorder="1" applyAlignment="1">
      <alignment horizontal="center" vertical="center"/>
    </xf>
    <xf numFmtId="0" fontId="9" fillId="4" borderId="10" xfId="4" applyFont="1" applyFill="1" applyBorder="1" applyAlignment="1">
      <alignment horizontal="center" vertical="center"/>
    </xf>
    <xf numFmtId="0" fontId="9" fillId="4" borderId="11" xfId="4" applyFont="1" applyFill="1" applyBorder="1" applyAlignment="1">
      <alignment horizontal="center" vertical="center"/>
    </xf>
    <xf numFmtId="38" fontId="9" fillId="4" borderId="11" xfId="4" applyNumberFormat="1" applyFont="1" applyFill="1" applyBorder="1" applyAlignment="1">
      <alignment horizontal="center" vertical="center" wrapText="1"/>
    </xf>
    <xf numFmtId="0" fontId="9" fillId="4" borderId="11" xfId="4" applyFont="1" applyFill="1" applyBorder="1" applyAlignment="1">
      <alignment horizontal="center" vertical="center" wrapText="1"/>
    </xf>
    <xf numFmtId="179" fontId="9" fillId="4" borderId="12" xfId="5" applyNumberFormat="1" applyFont="1" applyFill="1" applyBorder="1" applyAlignment="1" applyProtection="1">
      <alignment horizontal="center" vertical="center" wrapText="1"/>
    </xf>
    <xf numFmtId="38" fontId="10" fillId="0" borderId="8" xfId="0" quotePrefix="1" applyNumberFormat="1" applyFont="1" applyBorder="1" applyAlignment="1">
      <alignment horizontal="center" vertical="center"/>
    </xf>
    <xf numFmtId="38" fontId="10" fillId="0" borderId="13" xfId="0" quotePrefix="1" applyNumberFormat="1" applyFont="1" applyBorder="1" applyAlignment="1">
      <alignment horizontal="center" vertical="center"/>
    </xf>
    <xf numFmtId="0" fontId="9" fillId="4" borderId="14" xfId="4" applyFont="1" applyFill="1" applyBorder="1" applyAlignment="1">
      <alignment horizontal="center" vertical="center"/>
    </xf>
    <xf numFmtId="40" fontId="10" fillId="4" borderId="13" xfId="6" applyNumberFormat="1" applyFont="1" applyFill="1" applyBorder="1" applyAlignment="1">
      <alignment horizontal="center" vertical="center"/>
    </xf>
    <xf numFmtId="0" fontId="12" fillId="0" borderId="15" xfId="7" applyFont="1" applyBorder="1" applyAlignment="1">
      <alignment horizontal="center" vertical="center" wrapText="1"/>
    </xf>
    <xf numFmtId="0" fontId="12" fillId="0" borderId="16" xfId="8" quotePrefix="1" applyFont="1" applyBorder="1" applyAlignment="1">
      <alignment horizontal="center" vertical="center" wrapText="1"/>
    </xf>
    <xf numFmtId="0" fontId="12" fillId="2" borderId="17" xfId="9" quotePrefix="1" applyFont="1" applyFill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/>
    </xf>
    <xf numFmtId="181" fontId="12" fillId="0" borderId="18" xfId="2" applyNumberFormat="1" applyFont="1" applyFill="1" applyBorder="1" applyAlignment="1" applyProtection="1">
      <alignment horizontal="center" vertical="center"/>
    </xf>
    <xf numFmtId="183" fontId="10" fillId="0" borderId="18" xfId="10" applyNumberFormat="1" applyFont="1" applyFill="1" applyBorder="1" applyAlignment="1" applyProtection="1">
      <alignment horizontal="center" vertical="center"/>
    </xf>
    <xf numFmtId="181" fontId="10" fillId="0" borderId="18" xfId="2" applyNumberFormat="1" applyFont="1" applyFill="1" applyBorder="1" applyAlignment="1" applyProtection="1">
      <alignment horizontal="center" vertical="center"/>
    </xf>
    <xf numFmtId="179" fontId="9" fillId="4" borderId="19" xfId="5" applyNumberFormat="1" applyFont="1" applyFill="1" applyBorder="1" applyAlignment="1" applyProtection="1">
      <alignment horizontal="center" vertical="center" wrapText="1"/>
    </xf>
    <xf numFmtId="184" fontId="10" fillId="0" borderId="20" xfId="11" applyNumberFormat="1" applyFont="1" applyBorder="1" applyAlignment="1">
      <alignment horizontal="center" vertical="center"/>
    </xf>
    <xf numFmtId="184" fontId="10" fillId="0" borderId="18" xfId="11" applyNumberFormat="1" applyFont="1" applyBorder="1" applyAlignment="1">
      <alignment horizontal="center" vertical="center"/>
    </xf>
    <xf numFmtId="184" fontId="10" fillId="0" borderId="19" xfId="11" applyNumberFormat="1" applyFont="1" applyBorder="1" applyAlignment="1">
      <alignment horizontal="center" vertical="center"/>
    </xf>
    <xf numFmtId="0" fontId="12" fillId="0" borderId="21" xfId="7" applyFont="1" applyBorder="1" applyAlignment="1">
      <alignment horizontal="center" vertical="center" wrapText="1"/>
    </xf>
    <xf numFmtId="0" fontId="12" fillId="0" borderId="10" xfId="8" quotePrefix="1" applyFont="1" applyBorder="1" applyAlignment="1">
      <alignment horizontal="center" vertical="center" wrapText="1"/>
    </xf>
    <xf numFmtId="0" fontId="12" fillId="2" borderId="22" xfId="9" quotePrefix="1" applyFont="1" applyFill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/>
    </xf>
    <xf numFmtId="181" fontId="12" fillId="0" borderId="23" xfId="2" applyNumberFormat="1" applyFont="1" applyFill="1" applyBorder="1" applyAlignment="1" applyProtection="1">
      <alignment horizontal="center" vertical="center"/>
    </xf>
    <xf numFmtId="183" fontId="10" fillId="0" borderId="23" xfId="10" applyNumberFormat="1" applyFont="1" applyFill="1" applyBorder="1" applyAlignment="1" applyProtection="1">
      <alignment horizontal="center" vertical="center"/>
    </xf>
    <xf numFmtId="181" fontId="10" fillId="0" borderId="23" xfId="2" applyNumberFormat="1" applyFont="1" applyFill="1" applyBorder="1" applyAlignment="1" applyProtection="1">
      <alignment horizontal="center" vertical="center"/>
    </xf>
    <xf numFmtId="42" fontId="14" fillId="0" borderId="24" xfId="2" applyNumberFormat="1" applyFont="1" applyFill="1" applyBorder="1" applyAlignment="1" applyProtection="1">
      <alignment horizontal="center" vertical="center"/>
    </xf>
    <xf numFmtId="184" fontId="10" fillId="0" borderId="25" xfId="11" applyNumberFormat="1" applyFont="1" applyBorder="1" applyAlignment="1">
      <alignment horizontal="center" vertical="center"/>
    </xf>
    <xf numFmtId="184" fontId="10" fillId="0" borderId="23" xfId="11" applyNumberFormat="1" applyFont="1" applyBorder="1" applyAlignment="1">
      <alignment horizontal="center" vertical="center"/>
    </xf>
    <xf numFmtId="184" fontId="10" fillId="0" borderId="24" xfId="11" applyNumberFormat="1" applyFont="1" applyBorder="1" applyAlignment="1">
      <alignment horizontal="center" vertical="center"/>
    </xf>
    <xf numFmtId="0" fontId="12" fillId="0" borderId="26" xfId="7" applyFont="1" applyBorder="1" applyAlignment="1">
      <alignment horizontal="center" vertical="center" wrapText="1"/>
    </xf>
    <xf numFmtId="0" fontId="12" fillId="0" borderId="27" xfId="8" quotePrefix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/>
    </xf>
    <xf numFmtId="181" fontId="12" fillId="0" borderId="29" xfId="2" applyNumberFormat="1" applyFont="1" applyFill="1" applyBorder="1" applyAlignment="1" applyProtection="1">
      <alignment horizontal="center" vertical="center"/>
    </xf>
    <xf numFmtId="183" fontId="10" fillId="0" borderId="29" xfId="10" applyNumberFormat="1" applyFont="1" applyFill="1" applyBorder="1" applyAlignment="1" applyProtection="1">
      <alignment horizontal="center" vertical="center"/>
    </xf>
    <xf numFmtId="181" fontId="10" fillId="0" borderId="29" xfId="2" applyNumberFormat="1" applyFont="1" applyFill="1" applyBorder="1" applyAlignment="1" applyProtection="1">
      <alignment horizontal="center" vertical="center"/>
    </xf>
    <xf numFmtId="184" fontId="10" fillId="0" borderId="31" xfId="11" applyNumberFormat="1" applyFont="1" applyBorder="1" applyAlignment="1">
      <alignment horizontal="center" vertical="center"/>
    </xf>
    <xf numFmtId="184" fontId="10" fillId="0" borderId="29" xfId="11" applyNumberFormat="1" applyFont="1" applyBorder="1" applyAlignment="1">
      <alignment horizontal="center" vertical="center"/>
    </xf>
    <xf numFmtId="184" fontId="10" fillId="0" borderId="30" xfId="11" applyNumberFormat="1" applyFont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183" fontId="10" fillId="0" borderId="13" xfId="0" applyNumberFormat="1" applyFont="1" applyBorder="1" applyAlignment="1">
      <alignment horizontal="center" vertical="center"/>
    </xf>
    <xf numFmtId="0" fontId="10" fillId="3" borderId="0" xfId="0" applyFont="1" applyFill="1"/>
    <xf numFmtId="3" fontId="10" fillId="3" borderId="0" xfId="1" applyFont="1" applyFill="1" applyBorder="1" applyAlignment="1">
      <alignment horizontal="right" vertical="center"/>
    </xf>
    <xf numFmtId="183" fontId="10" fillId="3" borderId="13" xfId="0" applyNumberFormat="1" applyFont="1" applyFill="1" applyBorder="1" applyAlignment="1">
      <alignment horizontal="center" vertical="center"/>
    </xf>
    <xf numFmtId="185" fontId="10" fillId="0" borderId="32" xfId="0" applyNumberFormat="1" applyFont="1" applyBorder="1" applyAlignment="1">
      <alignment horizontal="left" vertical="center"/>
    </xf>
    <xf numFmtId="181" fontId="10" fillId="0" borderId="32" xfId="2" applyNumberFormat="1" applyFont="1" applyFill="1" applyBorder="1" applyAlignment="1">
      <alignment horizontal="center" vertical="center"/>
    </xf>
    <xf numFmtId="181" fontId="10" fillId="0" borderId="33" xfId="2" applyNumberFormat="1" applyFont="1" applyFill="1" applyBorder="1" applyAlignment="1">
      <alignment horizontal="center" vertical="center"/>
    </xf>
    <xf numFmtId="3" fontId="10" fillId="0" borderId="0" xfId="1" applyFont="1" applyBorder="1" applyAlignment="1">
      <alignment horizontal="right" vertical="center"/>
    </xf>
    <xf numFmtId="0" fontId="10" fillId="0" borderId="13" xfId="0" applyFont="1" applyBorder="1" applyAlignment="1">
      <alignment horizontal="center"/>
    </xf>
    <xf numFmtId="0" fontId="10" fillId="0" borderId="0" xfId="0" applyFont="1"/>
    <xf numFmtId="185" fontId="10" fillId="0" borderId="34" xfId="0" applyNumberFormat="1" applyFont="1" applyBorder="1" applyAlignment="1">
      <alignment horizontal="left" vertical="center"/>
    </xf>
    <xf numFmtId="181" fontId="10" fillId="0" borderId="34" xfId="2" applyNumberFormat="1" applyFont="1" applyFill="1" applyBorder="1" applyAlignment="1">
      <alignment horizontal="right" vertical="center"/>
    </xf>
    <xf numFmtId="180" fontId="10" fillId="0" borderId="35" xfId="2" applyFont="1" applyFill="1" applyBorder="1" applyAlignment="1">
      <alignment horizontal="right" vertical="center"/>
    </xf>
    <xf numFmtId="0" fontId="10" fillId="0" borderId="8" xfId="0" applyFont="1" applyBorder="1"/>
    <xf numFmtId="38" fontId="10" fillId="0" borderId="36" xfId="0" applyNumberFormat="1" applyFont="1" applyBorder="1" applyAlignment="1">
      <alignment horizontal="left" vertical="center"/>
    </xf>
    <xf numFmtId="3" fontId="10" fillId="0" borderId="36" xfId="1" applyFont="1" applyBorder="1" applyAlignment="1">
      <alignment horizontal="right" vertical="center"/>
    </xf>
    <xf numFmtId="38" fontId="10" fillId="0" borderId="37" xfId="0" applyNumberFormat="1" applyFont="1" applyBorder="1" applyAlignment="1">
      <alignment horizontal="left" vertical="center"/>
    </xf>
    <xf numFmtId="3" fontId="10" fillId="0" borderId="37" xfId="0" applyNumberFormat="1" applyFont="1" applyBorder="1" applyAlignment="1">
      <alignment horizontal="right" vertical="center"/>
    </xf>
    <xf numFmtId="0" fontId="10" fillId="0" borderId="38" xfId="0" applyFont="1" applyBorder="1"/>
    <xf numFmtId="0" fontId="10" fillId="0" borderId="39" xfId="0" applyFont="1" applyBorder="1"/>
    <xf numFmtId="0" fontId="10" fillId="0" borderId="39" xfId="0" applyFont="1" applyBorder="1" applyAlignment="1">
      <alignment horizontal="center"/>
    </xf>
    <xf numFmtId="176" fontId="10" fillId="0" borderId="39" xfId="0" applyNumberFormat="1" applyFont="1" applyBorder="1" applyAlignment="1">
      <alignment horizontal="left"/>
    </xf>
    <xf numFmtId="177" fontId="10" fillId="0" borderId="39" xfId="0" applyNumberFormat="1" applyFont="1" applyBorder="1" applyAlignment="1">
      <alignment horizontal="center"/>
    </xf>
    <xf numFmtId="38" fontId="10" fillId="0" borderId="39" xfId="0" applyNumberFormat="1" applyFont="1" applyBorder="1" applyAlignment="1">
      <alignment horizontal="left" vertical="center"/>
    </xf>
    <xf numFmtId="38" fontId="10" fillId="0" borderId="39" xfId="0" applyNumberFormat="1" applyFont="1" applyBorder="1" applyAlignment="1">
      <alignment horizontal="right" vertical="center"/>
    </xf>
    <xf numFmtId="0" fontId="10" fillId="2" borderId="39" xfId="0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8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49" fontId="10" fillId="0" borderId="13" xfId="0" applyNumberFormat="1" applyFont="1" applyBorder="1" applyAlignment="1">
      <alignment horizontal="right" vertical="center"/>
    </xf>
    <xf numFmtId="0" fontId="9" fillId="0" borderId="8" xfId="0" applyFont="1" applyBorder="1"/>
    <xf numFmtId="0" fontId="9" fillId="0" borderId="0" xfId="0" applyFont="1"/>
    <xf numFmtId="0" fontId="9" fillId="0" borderId="40" xfId="0" applyFont="1" applyBorder="1" applyAlignment="1">
      <alignment horizontal="center"/>
    </xf>
    <xf numFmtId="176" fontId="9" fillId="3" borderId="41" xfId="0" applyNumberFormat="1" applyFont="1" applyFill="1" applyBorder="1" applyAlignment="1">
      <alignment horizontal="center" vertical="center" textRotation="255"/>
    </xf>
    <xf numFmtId="0" fontId="10" fillId="0" borderId="42" xfId="0" applyFont="1" applyBorder="1" applyAlignment="1">
      <alignment horizontal="left" vertical="center"/>
    </xf>
    <xf numFmtId="176" fontId="10" fillId="3" borderId="6" xfId="0" applyNumberFormat="1" applyFont="1" applyFill="1" applyBorder="1" applyAlignment="1">
      <alignment horizontal="left" vertical="center"/>
    </xf>
    <xf numFmtId="176" fontId="10" fillId="3" borderId="6" xfId="0" applyNumberFormat="1" applyFont="1" applyFill="1" applyBorder="1" applyAlignment="1">
      <alignment vertical="center"/>
    </xf>
    <xf numFmtId="176" fontId="10" fillId="2" borderId="6" xfId="0" applyNumberFormat="1" applyFont="1" applyFill="1" applyBorder="1" applyAlignment="1">
      <alignment vertical="center"/>
    </xf>
    <xf numFmtId="176" fontId="10" fillId="3" borderId="13" xfId="0" applyNumberFormat="1" applyFont="1" applyFill="1" applyBorder="1" applyAlignment="1">
      <alignment vertical="center"/>
    </xf>
    <xf numFmtId="176" fontId="10" fillId="3" borderId="0" xfId="0" applyNumberFormat="1" applyFont="1" applyFill="1" applyAlignment="1">
      <alignment vertical="center"/>
    </xf>
    <xf numFmtId="176" fontId="9" fillId="3" borderId="21" xfId="0" applyNumberFormat="1" applyFont="1" applyFill="1" applyBorder="1" applyAlignment="1">
      <alignment horizontal="center" vertical="center" textRotation="255"/>
    </xf>
    <xf numFmtId="0" fontId="10" fillId="3" borderId="43" xfId="0" applyFont="1" applyFill="1" applyBorder="1" applyAlignment="1">
      <alignment vertical="center"/>
    </xf>
    <xf numFmtId="0" fontId="15" fillId="3" borderId="43" xfId="0" applyFont="1" applyFill="1" applyBorder="1" applyAlignment="1">
      <alignment vertical="center"/>
    </xf>
    <xf numFmtId="176" fontId="9" fillId="3" borderId="26" xfId="0" applyNumberFormat="1" applyFont="1" applyFill="1" applyBorder="1" applyAlignment="1">
      <alignment horizontal="center" vertical="center" textRotation="255"/>
    </xf>
    <xf numFmtId="0" fontId="10" fillId="0" borderId="44" xfId="0" applyFont="1" applyBorder="1" applyAlignment="1">
      <alignment vertical="center"/>
    </xf>
    <xf numFmtId="176" fontId="10" fillId="3" borderId="39" xfId="0" applyNumberFormat="1" applyFont="1" applyFill="1" applyBorder="1" applyAlignment="1">
      <alignment horizontal="left" vertical="center"/>
    </xf>
    <xf numFmtId="176" fontId="10" fillId="3" borderId="39" xfId="0" applyNumberFormat="1" applyFont="1" applyFill="1" applyBorder="1" applyAlignment="1">
      <alignment vertical="center"/>
    </xf>
    <xf numFmtId="176" fontId="10" fillId="2" borderId="39" xfId="0" applyNumberFormat="1" applyFont="1" applyFill="1" applyBorder="1" applyAlignment="1">
      <alignment vertical="center"/>
    </xf>
    <xf numFmtId="176" fontId="10" fillId="3" borderId="40" xfId="0" applyNumberFormat="1" applyFont="1" applyFill="1" applyBorder="1" applyAlignment="1">
      <alignment vertical="center"/>
    </xf>
    <xf numFmtId="176" fontId="4" fillId="0" borderId="0" xfId="0" applyNumberFormat="1" applyFont="1" applyAlignment="1">
      <alignment horizontal="center"/>
    </xf>
    <xf numFmtId="38" fontId="10" fillId="0" borderId="0" xfId="0" quotePrefix="1" applyNumberFormat="1" applyFont="1" applyBorder="1" applyAlignment="1">
      <alignment horizontal="center" vertical="center"/>
    </xf>
    <xf numFmtId="40" fontId="10" fillId="4" borderId="0" xfId="6" applyNumberFormat="1" applyFont="1" applyFill="1" applyBorder="1" applyAlignment="1">
      <alignment horizontal="center" vertical="center"/>
    </xf>
    <xf numFmtId="40" fontId="10" fillId="0" borderId="0" xfId="6" applyNumberFormat="1" applyFont="1" applyBorder="1" applyAlignment="1">
      <alignment horizontal="center" vertical="center"/>
    </xf>
    <xf numFmtId="40" fontId="10" fillId="5" borderId="0" xfId="6" applyNumberFormat="1" applyFont="1" applyFill="1" applyBorder="1" applyAlignment="1">
      <alignment horizontal="center" vertical="center"/>
    </xf>
    <xf numFmtId="0" fontId="12" fillId="2" borderId="28" xfId="9" quotePrefix="1" applyFont="1" applyFill="1" applyBorder="1" applyAlignment="1">
      <alignment horizontal="center" vertical="center" wrapText="1"/>
    </xf>
    <xf numFmtId="42" fontId="14" fillId="0" borderId="30" xfId="2" applyNumberFormat="1" applyFont="1" applyFill="1" applyBorder="1" applyAlignment="1" applyProtection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49" fontId="10" fillId="3" borderId="0" xfId="0" applyNumberFormat="1" applyFont="1" applyFill="1" applyBorder="1" applyAlignment="1">
      <alignment horizontal="center" vertical="center"/>
    </xf>
    <xf numFmtId="176" fontId="10" fillId="3" borderId="0" xfId="0" applyNumberFormat="1" applyFont="1" applyFill="1" applyBorder="1" applyAlignment="1">
      <alignment horizontal="center" vertical="center"/>
    </xf>
    <xf numFmtId="9" fontId="10" fillId="3" borderId="0" xfId="0" quotePrefix="1" applyNumberFormat="1" applyFont="1" applyFill="1" applyBorder="1" applyAlignment="1">
      <alignment horizontal="center" vertical="center"/>
    </xf>
    <xf numFmtId="183" fontId="10" fillId="2" borderId="0" xfId="0" applyNumberFormat="1" applyFont="1" applyFill="1" applyBorder="1" applyAlignment="1">
      <alignment horizontal="center" vertical="center"/>
    </xf>
    <xf numFmtId="183" fontId="10" fillId="0" borderId="0" xfId="0" applyNumberFormat="1" applyFont="1" applyBorder="1" applyAlignment="1">
      <alignment horizontal="center" vertical="center"/>
    </xf>
    <xf numFmtId="176" fontId="10" fillId="0" borderId="0" xfId="0" applyNumberFormat="1" applyFont="1" applyBorder="1" applyAlignment="1">
      <alignment horizontal="center" vertical="center"/>
    </xf>
    <xf numFmtId="183" fontId="10" fillId="3" borderId="0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176" fontId="10" fillId="0" borderId="0" xfId="0" applyNumberFormat="1" applyFont="1" applyBorder="1" applyAlignment="1">
      <alignment horizontal="left"/>
    </xf>
    <xf numFmtId="177" fontId="10" fillId="0" borderId="0" xfId="0" applyNumberFormat="1" applyFont="1" applyBorder="1" applyAlignment="1">
      <alignment horizontal="center"/>
    </xf>
    <xf numFmtId="176" fontId="10" fillId="0" borderId="0" xfId="0" applyNumberFormat="1" applyFont="1" applyBorder="1" applyAlignment="1">
      <alignment horizontal="center"/>
    </xf>
    <xf numFmtId="38" fontId="10" fillId="0" borderId="0" xfId="0" applyNumberFormat="1" applyFont="1" applyBorder="1" applyAlignment="1">
      <alignment horizontal="left" vertical="center"/>
    </xf>
    <xf numFmtId="0" fontId="10" fillId="2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left" vertical="center"/>
    </xf>
    <xf numFmtId="3" fontId="10" fillId="0" borderId="0" xfId="0" applyNumberFormat="1" applyFont="1" applyBorder="1" applyAlignment="1">
      <alignment horizontal="right" vertical="center"/>
    </xf>
    <xf numFmtId="0" fontId="10" fillId="0" borderId="0" xfId="0" applyFont="1" applyBorder="1"/>
    <xf numFmtId="0" fontId="10" fillId="0" borderId="0" xfId="0" applyFont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right" vertical="center"/>
    </xf>
    <xf numFmtId="49" fontId="10" fillId="2" borderId="0" xfId="0" applyNumberFormat="1" applyFont="1" applyFill="1" applyBorder="1" applyAlignment="1">
      <alignment horizontal="center" vertical="center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176" fontId="9" fillId="0" borderId="0" xfId="0" applyNumberFormat="1" applyFont="1" applyBorder="1"/>
    <xf numFmtId="177" fontId="9" fillId="0" borderId="0" xfId="0" applyNumberFormat="1" applyFont="1" applyBorder="1" applyAlignment="1">
      <alignment horizontal="center"/>
    </xf>
    <xf numFmtId="176" fontId="9" fillId="0" borderId="0" xfId="0" applyNumberFormat="1" applyFont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176" fontId="10" fillId="3" borderId="0" xfId="0" applyNumberFormat="1" applyFont="1" applyFill="1" applyBorder="1" applyAlignment="1">
      <alignment horizontal="left" vertical="center"/>
    </xf>
    <xf numFmtId="176" fontId="10" fillId="3" borderId="0" xfId="0" applyNumberFormat="1" applyFont="1" applyFill="1" applyBorder="1" applyAlignment="1">
      <alignment vertical="center"/>
    </xf>
    <xf numFmtId="176" fontId="10" fillId="2" borderId="0" xfId="0" applyNumberFormat="1" applyFont="1" applyFill="1" applyBorder="1" applyAlignment="1">
      <alignment vertical="center"/>
    </xf>
  </cellXfs>
  <cellStyles count="12">
    <cellStyle name="一般" xfId="0" builtinId="0"/>
    <cellStyle name="一般_1010220-新理想-新北郡-100萬-成本版" xfId="11" xr:uid="{E3158E3E-A64C-489A-BB5E-08205C708248}"/>
    <cellStyle name="一般_CD98Movie" xfId="3" xr:uid="{71A08D3B-6000-4E21-A136-5D1D067EA911}"/>
    <cellStyle name="一般_ICBC-新卡上市930701sales_980909光合廣告-伴月灣200萬成本版-1_980910光合廣告-伴月灣200萬成本版(修)_991216 喜年來成本版_991216 喜年來成本版" xfId="9" xr:uid="{18C101BD-FC09-4A39-841D-6A27EADEDDC5}"/>
    <cellStyle name="一般_ICBC-新卡上市930701sales_990719 德銀投信(10萬.15萬)成本版_990719 德銀投信(10萬.15萬)成本版_990806 保誠投信 (19萬未稅)成本版" xfId="4" xr:uid="{9C604A7C-5C13-47DE-8A85-2CB915C01EA5}"/>
    <cellStyle name="一般_ICBC-新卡上市930701sales_990806 保誠投信 (19萬未稅)成本版" xfId="6" xr:uid="{5E288B12-1CC4-4A0D-8124-00D76E66477D}"/>
    <cellStyle name="一般_小薛淡水建案160萬--950418計價版_990719 德銀投信(10萬.15萬)成本版_990719 德銀投信(10萬.15萬)成本版_990806 保誠投信 (19萬未稅)成本版" xfId="7" xr:uid="{22E1DFCC-849B-40A6-B7B6-34346289D0A6}"/>
    <cellStyle name="一般_家樂福2月50萬940125_970917 富邦產險成本版-1_990806 保誠投信 (19萬未稅)成本版" xfId="8" xr:uid="{08E3B9D5-AB33-4F9D-8335-279ED5CE9F6F}"/>
    <cellStyle name="千分位" xfId="1" builtinId="3"/>
    <cellStyle name="千分位 6" xfId="10" xr:uid="{15002305-9D74-4018-98CB-10CE4C9CDCC0}"/>
    <cellStyle name="貨幣" xfId="2" builtinId="4"/>
    <cellStyle name="貨幣 6" xfId="5" xr:uid="{3BCB2D10-0659-44DF-B709-F55452BAFB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52FE-8AFD-44CA-8B09-762652FF97BE}">
  <sheetPr>
    <tabColor rgb="FF00B0F0"/>
    <pageSetUpPr fitToPage="1"/>
  </sheetPr>
  <dimension ref="A1:AF32"/>
  <sheetViews>
    <sheetView showGridLines="0" view="pageBreakPreview" zoomScale="60" zoomScaleNormal="70" workbookViewId="0">
      <selection activeCell="H8" sqref="H8:H11"/>
    </sheetView>
  </sheetViews>
  <sheetFormatPr defaultColWidth="8.69921875" defaultRowHeight="25.7"/>
  <cols>
    <col min="1" max="1" width="21.546875" style="2" customWidth="1"/>
    <col min="2" max="2" width="20.296875" style="2" customWidth="1"/>
    <col min="3" max="3" width="15.34765625" style="3" customWidth="1"/>
    <col min="4" max="4" width="9.546875" style="3" customWidth="1"/>
    <col min="5" max="5" width="11.296875" style="4" customWidth="1"/>
    <col min="6" max="6" width="11.546875" style="5" customWidth="1"/>
    <col min="7" max="7" width="11.546875" style="4" customWidth="1"/>
    <col min="8" max="8" width="10.3984375" style="121" customWidth="1"/>
    <col min="9" max="9" width="14.546875" style="121" customWidth="1"/>
    <col min="10" max="10" width="14.1484375" style="4" customWidth="1"/>
    <col min="11" max="23" width="4.75" style="7" customWidth="1"/>
    <col min="24" max="25" width="4.75" style="3" customWidth="1"/>
    <col min="26" max="26" width="4.75" style="7" customWidth="1"/>
    <col min="27" max="32" width="4.75" style="3" customWidth="1"/>
    <col min="33" max="16384" width="8.69921875" style="2"/>
  </cols>
  <sheetData>
    <row r="1" spans="1:32" ht="30" customHeight="1">
      <c r="A1" s="1" t="s">
        <v>0</v>
      </c>
      <c r="H1" s="6"/>
      <c r="I1" s="6"/>
      <c r="J1" s="6"/>
    </row>
    <row r="2" spans="1:32" s="8" customFormat="1" ht="30" customHeight="1">
      <c r="C2" s="9"/>
      <c r="D2" s="9"/>
      <c r="E2" s="10"/>
      <c r="F2" s="11"/>
      <c r="G2" s="12"/>
      <c r="H2" s="13"/>
      <c r="I2" s="12" t="s">
        <v>1</v>
      </c>
      <c r="J2" s="13" t="s">
        <v>2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9"/>
      <c r="Y2" s="9"/>
      <c r="Z2" s="14"/>
      <c r="AA2" s="9"/>
      <c r="AB2" s="9"/>
      <c r="AC2" s="9"/>
      <c r="AD2" s="9"/>
      <c r="AE2" s="9"/>
      <c r="AF2" s="9"/>
    </row>
    <row r="3" spans="1:32" s="8" customFormat="1" ht="30" customHeight="1">
      <c r="B3" s="8" t="s">
        <v>3</v>
      </c>
      <c r="C3" s="9"/>
      <c r="D3" s="9"/>
      <c r="E3" s="10"/>
      <c r="F3" s="11"/>
      <c r="G3" s="12"/>
      <c r="H3" s="13"/>
      <c r="I3" s="12" t="s">
        <v>4</v>
      </c>
      <c r="J3" s="13" t="s">
        <v>5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9"/>
      <c r="Y3" s="9"/>
      <c r="Z3" s="14"/>
      <c r="AA3" s="9"/>
      <c r="AB3" s="9"/>
      <c r="AC3" s="9"/>
      <c r="AD3" s="9"/>
      <c r="AE3" s="9"/>
      <c r="AF3" s="9"/>
    </row>
    <row r="4" spans="1:32" s="8" customFormat="1" ht="29.25" customHeight="1" thickBot="1">
      <c r="A4" s="15" t="s">
        <v>6</v>
      </c>
      <c r="C4" s="9"/>
      <c r="D4" s="9"/>
      <c r="E4" s="10"/>
      <c r="F4" s="11"/>
      <c r="G4" s="16"/>
      <c r="H4" s="17"/>
      <c r="I4" s="16" t="s">
        <v>7</v>
      </c>
      <c r="J4" s="17" t="s">
        <v>8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9"/>
      <c r="Y4" s="9"/>
      <c r="Z4" s="14"/>
      <c r="AA4" s="9"/>
      <c r="AB4" s="9"/>
      <c r="AC4" s="9"/>
      <c r="AD4" s="9"/>
      <c r="AE4" s="9"/>
      <c r="AF4" s="9"/>
    </row>
    <row r="5" spans="1:32" s="28" customFormat="1" ht="29.25" customHeight="1">
      <c r="A5" s="18" t="s">
        <v>9</v>
      </c>
      <c r="B5" s="19" t="s">
        <v>10</v>
      </c>
      <c r="C5" s="20" t="s">
        <v>11</v>
      </c>
      <c r="D5" s="21" t="s">
        <v>12</v>
      </c>
      <c r="E5" s="22" t="s">
        <v>13</v>
      </c>
      <c r="F5" s="22" t="s">
        <v>14</v>
      </c>
      <c r="G5" s="22" t="s">
        <v>15</v>
      </c>
      <c r="H5" s="21" t="s">
        <v>16</v>
      </c>
      <c r="I5" s="23" t="s">
        <v>17</v>
      </c>
      <c r="J5" s="24" t="s">
        <v>18</v>
      </c>
      <c r="K5" s="25" t="s">
        <v>19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7"/>
    </row>
    <row r="6" spans="1:32" s="28" customFormat="1" ht="29.25" customHeight="1">
      <c r="A6" s="29"/>
      <c r="B6" s="30"/>
      <c r="C6" s="31"/>
      <c r="D6" s="32"/>
      <c r="E6" s="33"/>
      <c r="F6" s="33"/>
      <c r="G6" s="33"/>
      <c r="H6" s="32"/>
      <c r="I6" s="34"/>
      <c r="J6" s="35"/>
      <c r="K6" s="36">
        <v>7</v>
      </c>
      <c r="L6" s="122">
        <f>K6+1</f>
        <v>8</v>
      </c>
      <c r="M6" s="122">
        <f t="shared" ref="M6:AF6" si="0">L6+1</f>
        <v>9</v>
      </c>
      <c r="N6" s="122">
        <f t="shared" si="0"/>
        <v>10</v>
      </c>
      <c r="O6" s="122">
        <f t="shared" si="0"/>
        <v>11</v>
      </c>
      <c r="P6" s="122">
        <f t="shared" si="0"/>
        <v>12</v>
      </c>
      <c r="Q6" s="122">
        <f t="shared" si="0"/>
        <v>13</v>
      </c>
      <c r="R6" s="122">
        <f t="shared" si="0"/>
        <v>14</v>
      </c>
      <c r="S6" s="122">
        <f t="shared" si="0"/>
        <v>15</v>
      </c>
      <c r="T6" s="122">
        <f t="shared" si="0"/>
        <v>16</v>
      </c>
      <c r="U6" s="122">
        <f t="shared" si="0"/>
        <v>17</v>
      </c>
      <c r="V6" s="122">
        <f t="shared" si="0"/>
        <v>18</v>
      </c>
      <c r="W6" s="122">
        <f t="shared" si="0"/>
        <v>19</v>
      </c>
      <c r="X6" s="122">
        <f t="shared" si="0"/>
        <v>20</v>
      </c>
      <c r="Y6" s="122">
        <f t="shared" si="0"/>
        <v>21</v>
      </c>
      <c r="Z6" s="122">
        <f t="shared" si="0"/>
        <v>22</v>
      </c>
      <c r="AA6" s="122">
        <f t="shared" si="0"/>
        <v>23</v>
      </c>
      <c r="AB6" s="122">
        <f t="shared" si="0"/>
        <v>24</v>
      </c>
      <c r="AC6" s="122">
        <f t="shared" si="0"/>
        <v>25</v>
      </c>
      <c r="AD6" s="122">
        <f t="shared" si="0"/>
        <v>26</v>
      </c>
      <c r="AE6" s="122">
        <f t="shared" si="0"/>
        <v>27</v>
      </c>
      <c r="AF6" s="37">
        <f t="shared" si="0"/>
        <v>28</v>
      </c>
    </row>
    <row r="7" spans="1:32" s="28" customFormat="1" ht="29.25" customHeight="1">
      <c r="A7" s="29"/>
      <c r="B7" s="38"/>
      <c r="C7" s="31"/>
      <c r="D7" s="32"/>
      <c r="E7" s="33"/>
      <c r="F7" s="33"/>
      <c r="G7" s="33"/>
      <c r="H7" s="32"/>
      <c r="I7" s="34"/>
      <c r="J7" s="35"/>
      <c r="K7" s="123" t="s">
        <v>20</v>
      </c>
      <c r="L7" s="123" t="s">
        <v>21</v>
      </c>
      <c r="M7" s="123" t="s">
        <v>22</v>
      </c>
      <c r="N7" s="123" t="s">
        <v>21</v>
      </c>
      <c r="O7" s="124" t="s">
        <v>23</v>
      </c>
      <c r="P7" s="125" t="s">
        <v>24</v>
      </c>
      <c r="Q7" s="125" t="s">
        <v>24</v>
      </c>
      <c r="R7" s="123" t="s">
        <v>20</v>
      </c>
      <c r="S7" s="123" t="s">
        <v>21</v>
      </c>
      <c r="T7" s="123" t="s">
        <v>22</v>
      </c>
      <c r="U7" s="123" t="s">
        <v>21</v>
      </c>
      <c r="V7" s="124" t="s">
        <v>23</v>
      </c>
      <c r="W7" s="125" t="s">
        <v>24</v>
      </c>
      <c r="X7" s="125" t="s">
        <v>24</v>
      </c>
      <c r="Y7" s="123" t="s">
        <v>20</v>
      </c>
      <c r="Z7" s="123" t="s">
        <v>21</v>
      </c>
      <c r="AA7" s="123" t="s">
        <v>22</v>
      </c>
      <c r="AB7" s="123" t="s">
        <v>21</v>
      </c>
      <c r="AC7" s="124" t="s">
        <v>23</v>
      </c>
      <c r="AD7" s="125" t="s">
        <v>24</v>
      </c>
      <c r="AE7" s="125" t="s">
        <v>24</v>
      </c>
      <c r="AF7" s="39" t="s">
        <v>20</v>
      </c>
    </row>
    <row r="8" spans="1:32" s="28" customFormat="1" ht="47.45" customHeight="1">
      <c r="A8" s="40" t="s">
        <v>25</v>
      </c>
      <c r="B8" s="41" t="s">
        <v>26</v>
      </c>
      <c r="C8" s="42" t="s">
        <v>27</v>
      </c>
      <c r="D8" s="43" t="s">
        <v>53</v>
      </c>
      <c r="E8" s="44">
        <v>3000</v>
      </c>
      <c r="F8" s="44">
        <f t="shared" ref="F8:F11" si="1">E8*0.8</f>
        <v>2400</v>
      </c>
      <c r="G8" s="44">
        <f t="shared" ref="G8:G11" si="2">E8*0.75</f>
        <v>2250</v>
      </c>
      <c r="H8" s="45">
        <f>SUM(K8:AF8)</f>
        <v>480</v>
      </c>
      <c r="I8" s="46">
        <f>G8*H8</f>
        <v>1080000</v>
      </c>
      <c r="J8" s="47">
        <v>250000</v>
      </c>
      <c r="K8" s="48">
        <v>22</v>
      </c>
      <c r="L8" s="49">
        <f>K8</f>
        <v>22</v>
      </c>
      <c r="M8" s="49">
        <f t="shared" ref="M8:AB11" si="3">L8</f>
        <v>22</v>
      </c>
      <c r="N8" s="49">
        <f t="shared" si="3"/>
        <v>22</v>
      </c>
      <c r="O8" s="49">
        <f t="shared" si="3"/>
        <v>22</v>
      </c>
      <c r="P8" s="49">
        <f t="shared" si="3"/>
        <v>22</v>
      </c>
      <c r="Q8" s="49">
        <f t="shared" si="3"/>
        <v>22</v>
      </c>
      <c r="R8" s="49">
        <f t="shared" si="3"/>
        <v>22</v>
      </c>
      <c r="S8" s="49">
        <f t="shared" si="3"/>
        <v>22</v>
      </c>
      <c r="T8" s="49">
        <f t="shared" si="3"/>
        <v>22</v>
      </c>
      <c r="U8" s="49">
        <f t="shared" si="3"/>
        <v>22</v>
      </c>
      <c r="V8" s="49">
        <f t="shared" si="3"/>
        <v>22</v>
      </c>
      <c r="W8" s="49">
        <f t="shared" si="3"/>
        <v>22</v>
      </c>
      <c r="X8" s="49">
        <f t="shared" si="3"/>
        <v>22</v>
      </c>
      <c r="Y8" s="49">
        <f>X8</f>
        <v>22</v>
      </c>
      <c r="Z8" s="49">
        <f t="shared" si="3"/>
        <v>22</v>
      </c>
      <c r="AA8" s="49">
        <f>Z8</f>
        <v>22</v>
      </c>
      <c r="AB8" s="49">
        <f t="shared" si="3"/>
        <v>22</v>
      </c>
      <c r="AC8" s="49">
        <v>21</v>
      </c>
      <c r="AD8" s="49">
        <f t="shared" ref="AC8:AE11" si="4">AC8</f>
        <v>21</v>
      </c>
      <c r="AE8" s="49">
        <f t="shared" si="4"/>
        <v>21</v>
      </c>
      <c r="AF8" s="50">
        <f>AE8</f>
        <v>21</v>
      </c>
    </row>
    <row r="9" spans="1:32" s="28" customFormat="1" ht="47.45" customHeight="1">
      <c r="A9" s="51"/>
      <c r="B9" s="52"/>
      <c r="C9" s="53"/>
      <c r="D9" s="54" t="s">
        <v>53</v>
      </c>
      <c r="E9" s="55">
        <v>3000</v>
      </c>
      <c r="F9" s="55">
        <f t="shared" si="1"/>
        <v>2400</v>
      </c>
      <c r="G9" s="55">
        <f t="shared" si="2"/>
        <v>2250</v>
      </c>
      <c r="H9" s="56">
        <f>SUM(K9:AF9)</f>
        <v>72</v>
      </c>
      <c r="I9" s="57">
        <f>G9*H9</f>
        <v>162000</v>
      </c>
      <c r="J9" s="58" t="s">
        <v>29</v>
      </c>
      <c r="K9" s="59">
        <v>4</v>
      </c>
      <c r="L9" s="60">
        <f>K9</f>
        <v>4</v>
      </c>
      <c r="M9" s="60">
        <f t="shared" si="3"/>
        <v>4</v>
      </c>
      <c r="N9" s="60">
        <f t="shared" si="3"/>
        <v>4</v>
      </c>
      <c r="O9" s="60">
        <f t="shared" si="3"/>
        <v>4</v>
      </c>
      <c r="P9" s="60">
        <f t="shared" si="3"/>
        <v>4</v>
      </c>
      <c r="Q9" s="60">
        <v>3</v>
      </c>
      <c r="R9" s="60">
        <f t="shared" si="3"/>
        <v>3</v>
      </c>
      <c r="S9" s="60">
        <f t="shared" si="3"/>
        <v>3</v>
      </c>
      <c r="T9" s="60">
        <f t="shared" si="3"/>
        <v>3</v>
      </c>
      <c r="U9" s="60">
        <f t="shared" si="3"/>
        <v>3</v>
      </c>
      <c r="V9" s="60">
        <f t="shared" si="3"/>
        <v>3</v>
      </c>
      <c r="W9" s="60">
        <f>V9</f>
        <v>3</v>
      </c>
      <c r="X9" s="60">
        <f t="shared" si="3"/>
        <v>3</v>
      </c>
      <c r="Y9" s="60">
        <f>X9</f>
        <v>3</v>
      </c>
      <c r="Z9" s="60">
        <f t="shared" si="3"/>
        <v>3</v>
      </c>
      <c r="AA9" s="60">
        <f t="shared" si="3"/>
        <v>3</v>
      </c>
      <c r="AB9" s="60">
        <f t="shared" si="3"/>
        <v>3</v>
      </c>
      <c r="AC9" s="60">
        <f>AB9</f>
        <v>3</v>
      </c>
      <c r="AD9" s="60">
        <f t="shared" si="4"/>
        <v>3</v>
      </c>
      <c r="AE9" s="60">
        <f>AD9</f>
        <v>3</v>
      </c>
      <c r="AF9" s="61">
        <f>AE9</f>
        <v>3</v>
      </c>
    </row>
    <row r="10" spans="1:32" s="28" customFormat="1" ht="47.45" customHeight="1">
      <c r="A10" s="51"/>
      <c r="B10" s="52"/>
      <c r="C10" s="53" t="str">
        <f>C8</f>
        <v>0700-2300</v>
      </c>
      <c r="D10" s="54" t="s">
        <v>53</v>
      </c>
      <c r="E10" s="55">
        <v>3000</v>
      </c>
      <c r="F10" s="55">
        <f t="shared" si="1"/>
        <v>2400</v>
      </c>
      <c r="G10" s="55">
        <f t="shared" si="2"/>
        <v>2250</v>
      </c>
      <c r="H10" s="56">
        <f>SUM(K10:AF10)</f>
        <v>192</v>
      </c>
      <c r="I10" s="57">
        <f>G10*H10</f>
        <v>432000</v>
      </c>
      <c r="J10" s="58"/>
      <c r="K10" s="59">
        <v>9</v>
      </c>
      <c r="L10" s="60">
        <f>K10</f>
        <v>9</v>
      </c>
      <c r="M10" s="60">
        <f>L10</f>
        <v>9</v>
      </c>
      <c r="N10" s="60">
        <f t="shared" si="3"/>
        <v>9</v>
      </c>
      <c r="O10" s="60">
        <f>N10</f>
        <v>9</v>
      </c>
      <c r="P10" s="60">
        <f t="shared" si="3"/>
        <v>9</v>
      </c>
      <c r="Q10" s="60">
        <f t="shared" si="3"/>
        <v>9</v>
      </c>
      <c r="R10" s="60">
        <f t="shared" si="3"/>
        <v>9</v>
      </c>
      <c r="S10" s="60">
        <f t="shared" si="3"/>
        <v>9</v>
      </c>
      <c r="T10" s="60">
        <f t="shared" si="3"/>
        <v>9</v>
      </c>
      <c r="U10" s="60">
        <f>T10</f>
        <v>9</v>
      </c>
      <c r="V10" s="60">
        <f t="shared" si="3"/>
        <v>9</v>
      </c>
      <c r="W10" s="60">
        <f t="shared" si="3"/>
        <v>9</v>
      </c>
      <c r="X10" s="60">
        <f t="shared" si="3"/>
        <v>9</v>
      </c>
      <c r="Y10" s="60">
        <f t="shared" si="3"/>
        <v>9</v>
      </c>
      <c r="Z10" s="60">
        <f t="shared" si="3"/>
        <v>9</v>
      </c>
      <c r="AA10" s="60">
        <v>8</v>
      </c>
      <c r="AB10" s="60">
        <f t="shared" si="3"/>
        <v>8</v>
      </c>
      <c r="AC10" s="60">
        <f t="shared" si="4"/>
        <v>8</v>
      </c>
      <c r="AD10" s="60">
        <f t="shared" si="4"/>
        <v>8</v>
      </c>
      <c r="AE10" s="60">
        <f>AD10</f>
        <v>8</v>
      </c>
      <c r="AF10" s="61">
        <f t="shared" ref="AF10:AF11" si="5">AE10</f>
        <v>8</v>
      </c>
    </row>
    <row r="11" spans="1:32" s="28" customFormat="1" ht="47.45" customHeight="1" thickBot="1">
      <c r="A11" s="62"/>
      <c r="B11" s="63"/>
      <c r="C11" s="126"/>
      <c r="D11" s="64" t="s">
        <v>53</v>
      </c>
      <c r="E11" s="65">
        <v>3000</v>
      </c>
      <c r="F11" s="65">
        <f t="shared" si="1"/>
        <v>2400</v>
      </c>
      <c r="G11" s="65">
        <f t="shared" si="2"/>
        <v>2250</v>
      </c>
      <c r="H11" s="66">
        <f>SUM(K11:AF11)</f>
        <v>29</v>
      </c>
      <c r="I11" s="67">
        <f>G11*H11</f>
        <v>65250</v>
      </c>
      <c r="J11" s="127"/>
      <c r="K11" s="68">
        <v>2</v>
      </c>
      <c r="L11" s="69">
        <f>K11</f>
        <v>2</v>
      </c>
      <c r="M11" s="69">
        <f t="shared" si="3"/>
        <v>2</v>
      </c>
      <c r="N11" s="69">
        <f>M11</f>
        <v>2</v>
      </c>
      <c r="O11" s="69">
        <f t="shared" si="3"/>
        <v>2</v>
      </c>
      <c r="P11" s="69">
        <f t="shared" si="3"/>
        <v>2</v>
      </c>
      <c r="Q11" s="69">
        <f t="shared" si="3"/>
        <v>2</v>
      </c>
      <c r="R11" s="69">
        <v>1</v>
      </c>
      <c r="S11" s="69">
        <f t="shared" si="3"/>
        <v>1</v>
      </c>
      <c r="T11" s="69">
        <f t="shared" si="3"/>
        <v>1</v>
      </c>
      <c r="U11" s="69">
        <f>T11</f>
        <v>1</v>
      </c>
      <c r="V11" s="69">
        <f t="shared" si="3"/>
        <v>1</v>
      </c>
      <c r="W11" s="69">
        <f t="shared" si="3"/>
        <v>1</v>
      </c>
      <c r="X11" s="69">
        <f t="shared" si="3"/>
        <v>1</v>
      </c>
      <c r="Y11" s="69">
        <f>X11</f>
        <v>1</v>
      </c>
      <c r="Z11" s="69">
        <f t="shared" si="3"/>
        <v>1</v>
      </c>
      <c r="AA11" s="69">
        <f t="shared" si="3"/>
        <v>1</v>
      </c>
      <c r="AB11" s="69">
        <f t="shared" si="3"/>
        <v>1</v>
      </c>
      <c r="AC11" s="69">
        <f>AB11</f>
        <v>1</v>
      </c>
      <c r="AD11" s="69">
        <f t="shared" si="4"/>
        <v>1</v>
      </c>
      <c r="AE11" s="69">
        <f>AD11</f>
        <v>1</v>
      </c>
      <c r="AF11" s="70">
        <f>AE11</f>
        <v>1</v>
      </c>
    </row>
    <row r="12" spans="1:32" s="73" customFormat="1" ht="29.25" customHeight="1">
      <c r="A12" s="71"/>
      <c r="B12" s="128"/>
      <c r="C12" s="129"/>
      <c r="D12" s="129"/>
      <c r="E12" s="130"/>
      <c r="F12" s="131"/>
      <c r="G12" s="130"/>
      <c r="H12" s="130"/>
      <c r="I12" s="130"/>
      <c r="J12" s="130"/>
      <c r="K12" s="132"/>
      <c r="L12" s="132"/>
      <c r="M12" s="132"/>
      <c r="N12" s="132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72"/>
    </row>
    <row r="13" spans="1:32" s="73" customFormat="1" ht="29.25" customHeight="1" thickBot="1">
      <c r="A13" s="71"/>
      <c r="B13" s="128"/>
      <c r="C13" s="129"/>
      <c r="D13" s="129"/>
      <c r="E13" s="130"/>
      <c r="F13" s="131"/>
      <c r="G13" s="130"/>
      <c r="H13" s="130"/>
      <c r="I13" s="134"/>
      <c r="J13" s="74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5"/>
      <c r="Y13" s="135"/>
      <c r="Z13" s="132"/>
      <c r="AA13" s="135"/>
      <c r="AB13" s="135"/>
      <c r="AC13" s="135"/>
      <c r="AD13" s="135"/>
      <c r="AE13" s="135"/>
      <c r="AF13" s="75"/>
    </row>
    <row r="14" spans="1:32" s="81" customFormat="1" ht="29.25" customHeight="1">
      <c r="A14" s="76" t="s">
        <v>30</v>
      </c>
      <c r="B14" s="77">
        <f>SUM(I8:I11)</f>
        <v>1739250</v>
      </c>
      <c r="C14" s="78"/>
      <c r="D14" s="136"/>
      <c r="E14" s="137"/>
      <c r="F14" s="138"/>
      <c r="G14" s="137"/>
      <c r="H14" s="139"/>
      <c r="I14" s="140" t="s">
        <v>31</v>
      </c>
      <c r="J14" s="79">
        <f>SUM(J8:J11)</f>
        <v>250000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36"/>
      <c r="Y14" s="136"/>
      <c r="Z14" s="141"/>
      <c r="AA14" s="136"/>
      <c r="AB14" s="136"/>
      <c r="AC14" s="136"/>
      <c r="AD14" s="136"/>
      <c r="AE14" s="136"/>
      <c r="AF14" s="80"/>
    </row>
    <row r="15" spans="1:32" s="81" customFormat="1" ht="29.25" customHeight="1" thickBot="1">
      <c r="A15" s="82" t="s">
        <v>32</v>
      </c>
      <c r="B15" s="83">
        <f>B14-J8</f>
        <v>1489250</v>
      </c>
      <c r="C15" s="84"/>
      <c r="D15" s="136"/>
      <c r="E15" s="137"/>
      <c r="F15" s="138"/>
      <c r="G15" s="137"/>
      <c r="H15" s="139"/>
      <c r="I15" s="142" t="s">
        <v>33</v>
      </c>
      <c r="J15" s="143" t="s">
        <v>34</v>
      </c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36"/>
      <c r="Y15" s="136"/>
      <c r="Z15" s="141"/>
      <c r="AA15" s="136"/>
      <c r="AB15" s="136"/>
      <c r="AC15" s="136"/>
      <c r="AD15" s="136"/>
      <c r="AE15" s="136"/>
      <c r="AF15" s="80"/>
    </row>
    <row r="16" spans="1:32" s="81" customFormat="1" ht="29.25" customHeight="1">
      <c r="A16" s="85" t="s">
        <v>3</v>
      </c>
      <c r="B16" s="144"/>
      <c r="C16" s="136"/>
      <c r="D16" s="136"/>
      <c r="E16" s="137"/>
      <c r="F16" s="138"/>
      <c r="G16" s="137"/>
      <c r="H16" s="139"/>
      <c r="I16" s="86" t="s">
        <v>35</v>
      </c>
      <c r="J16" s="87">
        <f>SUM(J14:J15)*5%</f>
        <v>12500</v>
      </c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36"/>
      <c r="Y16" s="136"/>
      <c r="Z16" s="141"/>
      <c r="AA16" s="136"/>
      <c r="AB16" s="136"/>
      <c r="AC16" s="136"/>
      <c r="AD16" s="136"/>
      <c r="AE16" s="136"/>
      <c r="AF16" s="80"/>
    </row>
    <row r="17" spans="1:32" s="81" customFormat="1" ht="29.25" customHeight="1" thickBot="1">
      <c r="A17" s="85"/>
      <c r="B17" s="144"/>
      <c r="C17" s="136"/>
      <c r="D17" s="136"/>
      <c r="E17" s="137"/>
      <c r="F17" s="138"/>
      <c r="G17" s="137"/>
      <c r="H17" s="139"/>
      <c r="I17" s="88" t="s">
        <v>36</v>
      </c>
      <c r="J17" s="89">
        <f>SUM(J14:J16)</f>
        <v>262500</v>
      </c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36"/>
      <c r="Y17" s="136"/>
      <c r="Z17" s="141"/>
      <c r="AA17" s="136"/>
      <c r="AB17" s="136"/>
      <c r="AC17" s="136"/>
      <c r="AD17" s="136"/>
      <c r="AE17" s="136"/>
      <c r="AF17" s="80"/>
    </row>
    <row r="18" spans="1:32" s="81" customFormat="1" ht="29.25" customHeight="1" thickTop="1" thickBot="1">
      <c r="A18" s="90"/>
      <c r="B18" s="91"/>
      <c r="C18" s="92"/>
      <c r="D18" s="92"/>
      <c r="E18" s="93"/>
      <c r="F18" s="94"/>
      <c r="G18" s="91"/>
      <c r="H18" s="91"/>
      <c r="I18" s="95"/>
      <c r="J18" s="96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2"/>
      <c r="Y18" s="92"/>
      <c r="Z18" s="97"/>
      <c r="AA18" s="92"/>
      <c r="AB18" s="92"/>
      <c r="AC18" s="92"/>
      <c r="AD18" s="92"/>
      <c r="AE18" s="92"/>
      <c r="AF18" s="98"/>
    </row>
    <row r="19" spans="1:32" s="81" customFormat="1" ht="29.25" customHeight="1">
      <c r="A19" s="85"/>
      <c r="B19" s="144"/>
      <c r="C19" s="136"/>
      <c r="D19" s="136"/>
      <c r="E19" s="137"/>
      <c r="F19" s="138"/>
      <c r="G19" s="144"/>
      <c r="H19" s="144"/>
      <c r="I19" s="144"/>
      <c r="J19" s="144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36"/>
      <c r="Y19" s="136"/>
      <c r="Z19" s="141"/>
      <c r="AA19" s="136"/>
      <c r="AB19" s="136"/>
      <c r="AC19" s="136"/>
      <c r="AD19" s="136"/>
      <c r="AE19" s="136"/>
      <c r="AF19" s="80"/>
    </row>
    <row r="20" spans="1:32" s="81" customFormat="1" ht="29.25" customHeight="1">
      <c r="A20" s="85"/>
      <c r="B20" s="144"/>
      <c r="C20" s="136"/>
      <c r="D20" s="136"/>
      <c r="E20" s="137"/>
      <c r="F20" s="138"/>
      <c r="G20" s="144"/>
      <c r="H20" s="144"/>
      <c r="I20" s="144"/>
      <c r="J20" s="144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36"/>
      <c r="Y20" s="136"/>
      <c r="Z20" s="141"/>
      <c r="AA20" s="136"/>
      <c r="AB20" s="136"/>
      <c r="AC20" s="136"/>
      <c r="AD20" s="136"/>
      <c r="AE20" s="136"/>
      <c r="AF20" s="80"/>
    </row>
    <row r="21" spans="1:32" s="100" customFormat="1" ht="29.25" customHeight="1">
      <c r="A21" s="99" t="s">
        <v>37</v>
      </c>
      <c r="B21" s="145" t="s">
        <v>3</v>
      </c>
      <c r="C21" s="146"/>
      <c r="D21" s="128" t="s">
        <v>38</v>
      </c>
      <c r="E21" s="146"/>
      <c r="F21" s="146"/>
      <c r="G21" s="146"/>
      <c r="H21" s="146"/>
      <c r="I21" s="146" t="s">
        <v>39</v>
      </c>
      <c r="J21" s="146"/>
      <c r="K21" s="146"/>
      <c r="L21" s="146"/>
      <c r="M21" s="146"/>
      <c r="N21" s="146"/>
      <c r="O21" s="147" t="s">
        <v>40</v>
      </c>
      <c r="P21" s="147"/>
      <c r="Q21" s="147"/>
      <c r="R21" s="147"/>
      <c r="S21" s="147"/>
      <c r="T21" s="147"/>
      <c r="U21" s="147"/>
      <c r="V21" s="147"/>
      <c r="W21" s="147"/>
      <c r="X21" s="146"/>
      <c r="Y21" s="146"/>
      <c r="Z21" s="148"/>
      <c r="AA21" s="149"/>
      <c r="AB21" s="149"/>
      <c r="AC21" s="149"/>
      <c r="AD21" s="149"/>
      <c r="AE21" s="149"/>
      <c r="AF21" s="101"/>
    </row>
    <row r="22" spans="1:32" s="100" customFormat="1" ht="29.25" customHeight="1">
      <c r="A22" s="99"/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7"/>
      <c r="Y22" s="146"/>
      <c r="Z22" s="150"/>
      <c r="AA22" s="149"/>
      <c r="AB22" s="149"/>
      <c r="AC22" s="149"/>
      <c r="AD22" s="149"/>
      <c r="AE22" s="149"/>
      <c r="AF22" s="101"/>
    </row>
    <row r="23" spans="1:32" s="103" customFormat="1" ht="29.25" customHeight="1" thickBot="1">
      <c r="A23" s="102"/>
      <c r="B23" s="151"/>
      <c r="C23" s="152"/>
      <c r="D23" s="152"/>
      <c r="E23" s="153"/>
      <c r="F23" s="154"/>
      <c r="G23" s="153"/>
      <c r="H23" s="155"/>
      <c r="I23" s="155"/>
      <c r="J23" s="153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2"/>
      <c r="Y23" s="152"/>
      <c r="Z23" s="156"/>
      <c r="AA23" s="152"/>
      <c r="AB23" s="152"/>
      <c r="AC23" s="152"/>
      <c r="AD23" s="152"/>
      <c r="AE23" s="152"/>
      <c r="AF23" s="104"/>
    </row>
    <row r="24" spans="1:32" s="111" customFormat="1" ht="29.25" customHeight="1">
      <c r="A24" s="105" t="s">
        <v>41</v>
      </c>
      <c r="B24" s="106" t="s">
        <v>42</v>
      </c>
      <c r="C24" s="107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9"/>
      <c r="AA24" s="108"/>
      <c r="AB24" s="108"/>
      <c r="AC24" s="108"/>
      <c r="AD24" s="108"/>
      <c r="AE24" s="108"/>
      <c r="AF24" s="110"/>
    </row>
    <row r="25" spans="1:32" s="111" customFormat="1" ht="29.25" customHeight="1">
      <c r="A25" s="112"/>
      <c r="B25" s="113" t="s">
        <v>43</v>
      </c>
      <c r="C25" s="157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9"/>
      <c r="AA25" s="158"/>
      <c r="AB25" s="158"/>
      <c r="AC25" s="158"/>
      <c r="AD25" s="158"/>
      <c r="AE25" s="158"/>
      <c r="AF25" s="110"/>
    </row>
    <row r="26" spans="1:32" s="111" customFormat="1" ht="29.25" customHeight="1">
      <c r="A26" s="112"/>
      <c r="B26" s="113" t="s">
        <v>44</v>
      </c>
      <c r="C26" s="157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9"/>
      <c r="AA26" s="158"/>
      <c r="AB26" s="158"/>
      <c r="AC26" s="158"/>
      <c r="AD26" s="158"/>
      <c r="AE26" s="158"/>
      <c r="AF26" s="110"/>
    </row>
    <row r="27" spans="1:32" s="111" customFormat="1" ht="29.25" customHeight="1">
      <c r="A27" s="112"/>
      <c r="B27" s="113" t="s">
        <v>45</v>
      </c>
      <c r="C27" s="157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9"/>
      <c r="AA27" s="158"/>
      <c r="AB27" s="158"/>
      <c r="AC27" s="158"/>
      <c r="AD27" s="158"/>
      <c r="AE27" s="158"/>
      <c r="AF27" s="110"/>
    </row>
    <row r="28" spans="1:32" s="111" customFormat="1" ht="29.25" customHeight="1">
      <c r="A28" s="112"/>
      <c r="B28" s="114" t="s">
        <v>46</v>
      </c>
      <c r="C28" s="157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9"/>
      <c r="AA28" s="158"/>
      <c r="AB28" s="158"/>
      <c r="AC28" s="158"/>
      <c r="AD28" s="158"/>
      <c r="AE28" s="158"/>
      <c r="AF28" s="110"/>
    </row>
    <row r="29" spans="1:32" s="111" customFormat="1" ht="29.25" customHeight="1">
      <c r="A29" s="112"/>
      <c r="B29" s="113" t="s">
        <v>47</v>
      </c>
      <c r="C29" s="157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9"/>
      <c r="AA29" s="158"/>
      <c r="AB29" s="158"/>
      <c r="AC29" s="158"/>
      <c r="AD29" s="158"/>
      <c r="AE29" s="158"/>
      <c r="AF29" s="110"/>
    </row>
    <row r="30" spans="1:32" s="111" customFormat="1" ht="29.25" customHeight="1">
      <c r="A30" s="112"/>
      <c r="B30" s="113" t="s">
        <v>48</v>
      </c>
      <c r="C30" s="157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9"/>
      <c r="AA30" s="158"/>
      <c r="AB30" s="158"/>
      <c r="AC30" s="158"/>
      <c r="AD30" s="158"/>
      <c r="AE30" s="158"/>
      <c r="AF30" s="110"/>
    </row>
    <row r="31" spans="1:32" s="111" customFormat="1" ht="29.25" customHeight="1">
      <c r="A31" s="112"/>
      <c r="B31" s="113" t="s">
        <v>49</v>
      </c>
      <c r="C31" s="157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9"/>
      <c r="AA31" s="158"/>
      <c r="AB31" s="158"/>
      <c r="AC31" s="158"/>
      <c r="AD31" s="158"/>
      <c r="AE31" s="158"/>
      <c r="AF31" s="110"/>
    </row>
    <row r="32" spans="1:32" s="111" customFormat="1" ht="29.25" customHeight="1" thickBot="1">
      <c r="A32" s="115"/>
      <c r="B32" s="116" t="s">
        <v>50</v>
      </c>
      <c r="C32" s="117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9"/>
      <c r="AA32" s="118"/>
      <c r="AB32" s="118"/>
      <c r="AC32" s="118"/>
      <c r="AD32" s="118"/>
      <c r="AE32" s="118"/>
      <c r="AF32" s="120"/>
    </row>
  </sheetData>
  <mergeCells count="18">
    <mergeCell ref="B14:C14"/>
    <mergeCell ref="B15:C15"/>
    <mergeCell ref="A24:A32"/>
    <mergeCell ref="G5:G7"/>
    <mergeCell ref="H5:H7"/>
    <mergeCell ref="I5:I7"/>
    <mergeCell ref="J5:J7"/>
    <mergeCell ref="A8:A11"/>
    <mergeCell ref="B8:B11"/>
    <mergeCell ref="C8:C9"/>
    <mergeCell ref="J9:J11"/>
    <mergeCell ref="C10:C11"/>
    <mergeCell ref="A5:A7"/>
    <mergeCell ref="B5:B7"/>
    <mergeCell ref="C5:C7"/>
    <mergeCell ref="D5:D7"/>
    <mergeCell ref="E5:E7"/>
    <mergeCell ref="F5:F7"/>
  </mergeCells>
  <phoneticPr fontId="2" type="noConversion"/>
  <printOptions horizontalCentered="1"/>
  <pageMargins left="0" right="0" top="0.59055118110236227" bottom="3.937007874015748E-2" header="0.15748031496062992" footer="0.19685039370078741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B2FC-8DC3-4ADB-9EB5-B8257907D1C1}">
  <sheetPr>
    <tabColor rgb="FF00B0F0"/>
    <pageSetUpPr fitToPage="1"/>
  </sheetPr>
  <dimension ref="A1:AF32"/>
  <sheetViews>
    <sheetView showGridLines="0" view="pageBreakPreview" zoomScale="60" zoomScaleNormal="70" workbookViewId="0">
      <selection activeCell="H8" sqref="H8:H11"/>
    </sheetView>
  </sheetViews>
  <sheetFormatPr defaultColWidth="8.69921875" defaultRowHeight="25.7"/>
  <cols>
    <col min="1" max="1" width="21.546875" style="2" customWidth="1"/>
    <col min="2" max="2" width="20.296875" style="2" customWidth="1"/>
    <col min="3" max="3" width="15.34765625" style="3" customWidth="1"/>
    <col min="4" max="4" width="9.546875" style="3" customWidth="1"/>
    <col min="5" max="5" width="11.296875" style="4" customWidth="1"/>
    <col min="6" max="6" width="11.546875" style="5" customWidth="1"/>
    <col min="7" max="7" width="11.546875" style="4" customWidth="1"/>
    <col min="8" max="8" width="10.3984375" style="121" customWidth="1"/>
    <col min="9" max="9" width="14.546875" style="121" customWidth="1"/>
    <col min="10" max="10" width="14.1484375" style="4" customWidth="1"/>
    <col min="11" max="23" width="4.75" style="7" customWidth="1"/>
    <col min="24" max="25" width="4.75" style="3" customWidth="1"/>
    <col min="26" max="26" width="4.75" style="7" customWidth="1"/>
    <col min="27" max="32" width="4.75" style="3" customWidth="1"/>
    <col min="33" max="16384" width="8.69921875" style="2"/>
  </cols>
  <sheetData>
    <row r="1" spans="1:32" ht="30" customHeight="1">
      <c r="A1" s="1" t="s">
        <v>0</v>
      </c>
      <c r="H1" s="6"/>
      <c r="I1" s="6"/>
      <c r="J1" s="6"/>
    </row>
    <row r="2" spans="1:32" s="8" customFormat="1" ht="30" customHeight="1">
      <c r="C2" s="9"/>
      <c r="D2" s="9"/>
      <c r="E2" s="10"/>
      <c r="F2" s="11"/>
      <c r="G2" s="12"/>
      <c r="H2" s="13"/>
      <c r="I2" s="12" t="s">
        <v>1</v>
      </c>
      <c r="J2" s="13" t="s">
        <v>2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9"/>
      <c r="Y2" s="9"/>
      <c r="Z2" s="14"/>
      <c r="AA2" s="9"/>
      <c r="AB2" s="9"/>
      <c r="AC2" s="9"/>
      <c r="AD2" s="9"/>
      <c r="AE2" s="9"/>
      <c r="AF2" s="9"/>
    </row>
    <row r="3" spans="1:32" s="8" customFormat="1" ht="30" customHeight="1">
      <c r="B3" s="8" t="s">
        <v>3</v>
      </c>
      <c r="C3" s="9"/>
      <c r="D3" s="9"/>
      <c r="E3" s="10"/>
      <c r="F3" s="11"/>
      <c r="G3" s="12"/>
      <c r="H3" s="13"/>
      <c r="I3" s="12" t="s">
        <v>4</v>
      </c>
      <c r="J3" s="13" t="s">
        <v>5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9"/>
      <c r="Y3" s="9"/>
      <c r="Z3" s="14"/>
      <c r="AA3" s="9"/>
      <c r="AB3" s="9"/>
      <c r="AC3" s="9"/>
      <c r="AD3" s="9"/>
      <c r="AE3" s="9"/>
      <c r="AF3" s="9"/>
    </row>
    <row r="4" spans="1:32" s="8" customFormat="1" ht="29.25" customHeight="1" thickBot="1">
      <c r="A4" s="15" t="s">
        <v>6</v>
      </c>
      <c r="C4" s="9"/>
      <c r="D4" s="9"/>
      <c r="E4" s="10"/>
      <c r="F4" s="11"/>
      <c r="G4" s="16"/>
      <c r="H4" s="17"/>
      <c r="I4" s="16" t="s">
        <v>7</v>
      </c>
      <c r="J4" s="17" t="s">
        <v>8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9"/>
      <c r="Y4" s="9"/>
      <c r="Z4" s="14"/>
      <c r="AA4" s="9"/>
      <c r="AB4" s="9"/>
      <c r="AC4" s="9"/>
      <c r="AD4" s="9"/>
      <c r="AE4" s="9"/>
      <c r="AF4" s="9"/>
    </row>
    <row r="5" spans="1:32" s="28" customFormat="1" ht="29.25" customHeight="1">
      <c r="A5" s="18" t="s">
        <v>9</v>
      </c>
      <c r="B5" s="19" t="s">
        <v>10</v>
      </c>
      <c r="C5" s="20" t="s">
        <v>11</v>
      </c>
      <c r="D5" s="21" t="s">
        <v>12</v>
      </c>
      <c r="E5" s="22" t="s">
        <v>13</v>
      </c>
      <c r="F5" s="22" t="s">
        <v>14</v>
      </c>
      <c r="G5" s="22" t="s">
        <v>15</v>
      </c>
      <c r="H5" s="21" t="s">
        <v>16</v>
      </c>
      <c r="I5" s="23" t="s">
        <v>17</v>
      </c>
      <c r="J5" s="24" t="s">
        <v>18</v>
      </c>
      <c r="K5" s="25" t="s">
        <v>19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7"/>
    </row>
    <row r="6" spans="1:32" s="28" customFormat="1" ht="29.25" customHeight="1">
      <c r="A6" s="29"/>
      <c r="B6" s="30"/>
      <c r="C6" s="31"/>
      <c r="D6" s="32"/>
      <c r="E6" s="33"/>
      <c r="F6" s="33"/>
      <c r="G6" s="33"/>
      <c r="H6" s="32"/>
      <c r="I6" s="34"/>
      <c r="J6" s="35"/>
      <c r="K6" s="36">
        <v>7</v>
      </c>
      <c r="L6" s="122">
        <f>K6+1</f>
        <v>8</v>
      </c>
      <c r="M6" s="122">
        <f t="shared" ref="M6:AF6" si="0">L6+1</f>
        <v>9</v>
      </c>
      <c r="N6" s="122">
        <f t="shared" si="0"/>
        <v>10</v>
      </c>
      <c r="O6" s="122">
        <f t="shared" si="0"/>
        <v>11</v>
      </c>
      <c r="P6" s="122">
        <f t="shared" si="0"/>
        <v>12</v>
      </c>
      <c r="Q6" s="122">
        <f t="shared" si="0"/>
        <v>13</v>
      </c>
      <c r="R6" s="122">
        <f t="shared" si="0"/>
        <v>14</v>
      </c>
      <c r="S6" s="122">
        <f t="shared" si="0"/>
        <v>15</v>
      </c>
      <c r="T6" s="122">
        <f t="shared" si="0"/>
        <v>16</v>
      </c>
      <c r="U6" s="122">
        <f t="shared" si="0"/>
        <v>17</v>
      </c>
      <c r="V6" s="122">
        <f t="shared" si="0"/>
        <v>18</v>
      </c>
      <c r="W6" s="122">
        <f t="shared" si="0"/>
        <v>19</v>
      </c>
      <c r="X6" s="122">
        <f t="shared" si="0"/>
        <v>20</v>
      </c>
      <c r="Y6" s="122">
        <f t="shared" si="0"/>
        <v>21</v>
      </c>
      <c r="Z6" s="122">
        <f t="shared" si="0"/>
        <v>22</v>
      </c>
      <c r="AA6" s="122">
        <f t="shared" si="0"/>
        <v>23</v>
      </c>
      <c r="AB6" s="122">
        <f t="shared" si="0"/>
        <v>24</v>
      </c>
      <c r="AC6" s="122">
        <f t="shared" si="0"/>
        <v>25</v>
      </c>
      <c r="AD6" s="122">
        <f t="shared" si="0"/>
        <v>26</v>
      </c>
      <c r="AE6" s="122">
        <f t="shared" si="0"/>
        <v>27</v>
      </c>
      <c r="AF6" s="37">
        <f t="shared" si="0"/>
        <v>28</v>
      </c>
    </row>
    <row r="7" spans="1:32" s="28" customFormat="1" ht="29.25" customHeight="1">
      <c r="A7" s="29"/>
      <c r="B7" s="38"/>
      <c r="C7" s="31"/>
      <c r="D7" s="32"/>
      <c r="E7" s="33"/>
      <c r="F7" s="33"/>
      <c r="G7" s="33"/>
      <c r="H7" s="32"/>
      <c r="I7" s="34"/>
      <c r="J7" s="35"/>
      <c r="K7" s="123" t="s">
        <v>20</v>
      </c>
      <c r="L7" s="123" t="s">
        <v>21</v>
      </c>
      <c r="M7" s="123" t="s">
        <v>22</v>
      </c>
      <c r="N7" s="123" t="s">
        <v>21</v>
      </c>
      <c r="O7" s="124" t="s">
        <v>23</v>
      </c>
      <c r="P7" s="125" t="s">
        <v>24</v>
      </c>
      <c r="Q7" s="125" t="s">
        <v>24</v>
      </c>
      <c r="R7" s="123" t="s">
        <v>20</v>
      </c>
      <c r="S7" s="123" t="s">
        <v>21</v>
      </c>
      <c r="T7" s="123" t="s">
        <v>22</v>
      </c>
      <c r="U7" s="123" t="s">
        <v>21</v>
      </c>
      <c r="V7" s="124" t="s">
        <v>23</v>
      </c>
      <c r="W7" s="125" t="s">
        <v>24</v>
      </c>
      <c r="X7" s="125" t="s">
        <v>24</v>
      </c>
      <c r="Y7" s="123" t="s">
        <v>20</v>
      </c>
      <c r="Z7" s="123" t="s">
        <v>21</v>
      </c>
      <c r="AA7" s="123" t="s">
        <v>22</v>
      </c>
      <c r="AB7" s="123" t="s">
        <v>21</v>
      </c>
      <c r="AC7" s="124" t="s">
        <v>23</v>
      </c>
      <c r="AD7" s="125" t="s">
        <v>24</v>
      </c>
      <c r="AE7" s="125" t="s">
        <v>24</v>
      </c>
      <c r="AF7" s="39" t="s">
        <v>20</v>
      </c>
    </row>
    <row r="8" spans="1:32" s="28" customFormat="1" ht="47.45" customHeight="1">
      <c r="A8" s="40" t="s">
        <v>25</v>
      </c>
      <c r="B8" s="41" t="s">
        <v>26</v>
      </c>
      <c r="C8" s="42" t="s">
        <v>27</v>
      </c>
      <c r="D8" s="43" t="s">
        <v>52</v>
      </c>
      <c r="E8" s="44">
        <v>2550</v>
      </c>
      <c r="F8" s="44">
        <f t="shared" ref="F8:F11" si="1">E8*0.8</f>
        <v>2040</v>
      </c>
      <c r="G8" s="44">
        <f t="shared" ref="G8:G11" si="2">E8*0.75</f>
        <v>1912.5</v>
      </c>
      <c r="H8" s="45">
        <f>SUM(K8:AF8)</f>
        <v>720</v>
      </c>
      <c r="I8" s="46">
        <f>G8*H8</f>
        <v>1377000</v>
      </c>
      <c r="J8" s="47">
        <v>250000</v>
      </c>
      <c r="K8" s="48">
        <v>33</v>
      </c>
      <c r="L8" s="49">
        <f>K8</f>
        <v>33</v>
      </c>
      <c r="M8" s="49">
        <f t="shared" ref="M8:AB11" si="3">L8</f>
        <v>33</v>
      </c>
      <c r="N8" s="49">
        <f t="shared" si="3"/>
        <v>33</v>
      </c>
      <c r="O8" s="49">
        <f t="shared" si="3"/>
        <v>33</v>
      </c>
      <c r="P8" s="49">
        <f t="shared" si="3"/>
        <v>33</v>
      </c>
      <c r="Q8" s="49">
        <f t="shared" si="3"/>
        <v>33</v>
      </c>
      <c r="R8" s="49">
        <f t="shared" si="3"/>
        <v>33</v>
      </c>
      <c r="S8" s="49">
        <f t="shared" si="3"/>
        <v>33</v>
      </c>
      <c r="T8" s="49">
        <f t="shared" si="3"/>
        <v>33</v>
      </c>
      <c r="U8" s="49">
        <f t="shared" si="3"/>
        <v>33</v>
      </c>
      <c r="V8" s="49">
        <f t="shared" si="3"/>
        <v>33</v>
      </c>
      <c r="W8" s="49">
        <f t="shared" si="3"/>
        <v>33</v>
      </c>
      <c r="X8" s="49">
        <f t="shared" si="3"/>
        <v>33</v>
      </c>
      <c r="Y8" s="49">
        <f>X8</f>
        <v>33</v>
      </c>
      <c r="Z8" s="49">
        <f t="shared" si="3"/>
        <v>33</v>
      </c>
      <c r="AA8" s="49">
        <v>32</v>
      </c>
      <c r="AB8" s="49">
        <f t="shared" si="3"/>
        <v>32</v>
      </c>
      <c r="AC8" s="49">
        <f t="shared" ref="AC8:AE11" si="4">AB8</f>
        <v>32</v>
      </c>
      <c r="AD8" s="49">
        <f t="shared" si="4"/>
        <v>32</v>
      </c>
      <c r="AE8" s="49">
        <f t="shared" si="4"/>
        <v>32</v>
      </c>
      <c r="AF8" s="50">
        <f>AE8</f>
        <v>32</v>
      </c>
    </row>
    <row r="9" spans="1:32" s="28" customFormat="1" ht="47.45" customHeight="1">
      <c r="A9" s="51"/>
      <c r="B9" s="52"/>
      <c r="C9" s="53"/>
      <c r="D9" s="54" t="s">
        <v>52</v>
      </c>
      <c r="E9" s="55">
        <v>2550</v>
      </c>
      <c r="F9" s="55">
        <f t="shared" si="1"/>
        <v>2040</v>
      </c>
      <c r="G9" s="55">
        <f t="shared" si="2"/>
        <v>1912.5</v>
      </c>
      <c r="H9" s="56">
        <f>SUM(K9:AF9)</f>
        <v>108</v>
      </c>
      <c r="I9" s="57">
        <f>G9*H9</f>
        <v>206550</v>
      </c>
      <c r="J9" s="58" t="s">
        <v>29</v>
      </c>
      <c r="K9" s="59">
        <v>5</v>
      </c>
      <c r="L9" s="60">
        <f>K9</f>
        <v>5</v>
      </c>
      <c r="M9" s="60">
        <f t="shared" si="3"/>
        <v>5</v>
      </c>
      <c r="N9" s="60">
        <f t="shared" si="3"/>
        <v>5</v>
      </c>
      <c r="O9" s="60">
        <f t="shared" si="3"/>
        <v>5</v>
      </c>
      <c r="P9" s="60">
        <f t="shared" si="3"/>
        <v>5</v>
      </c>
      <c r="Q9" s="60">
        <f t="shared" si="3"/>
        <v>5</v>
      </c>
      <c r="R9" s="60">
        <f t="shared" si="3"/>
        <v>5</v>
      </c>
      <c r="S9" s="60">
        <f t="shared" si="3"/>
        <v>5</v>
      </c>
      <c r="T9" s="60">
        <f t="shared" si="3"/>
        <v>5</v>
      </c>
      <c r="U9" s="60">
        <f t="shared" si="3"/>
        <v>5</v>
      </c>
      <c r="V9" s="60">
        <f t="shared" si="3"/>
        <v>5</v>
      </c>
      <c r="W9" s="60">
        <f>V9</f>
        <v>5</v>
      </c>
      <c r="X9" s="60">
        <f t="shared" si="3"/>
        <v>5</v>
      </c>
      <c r="Y9" s="60">
        <f>X9</f>
        <v>5</v>
      </c>
      <c r="Z9" s="60">
        <f t="shared" si="3"/>
        <v>5</v>
      </c>
      <c r="AA9" s="60">
        <f t="shared" si="3"/>
        <v>5</v>
      </c>
      <c r="AB9" s="60">
        <f t="shared" si="3"/>
        <v>5</v>
      </c>
      <c r="AC9" s="60">
        <f>AB9</f>
        <v>5</v>
      </c>
      <c r="AD9" s="60">
        <f t="shared" si="4"/>
        <v>5</v>
      </c>
      <c r="AE9" s="60">
        <v>4</v>
      </c>
      <c r="AF9" s="61">
        <v>4</v>
      </c>
    </row>
    <row r="10" spans="1:32" s="28" customFormat="1" ht="47.45" customHeight="1">
      <c r="A10" s="51"/>
      <c r="B10" s="52"/>
      <c r="C10" s="53" t="str">
        <f>C8</f>
        <v>0700-2300</v>
      </c>
      <c r="D10" s="54" t="s">
        <v>52</v>
      </c>
      <c r="E10" s="55">
        <v>2550</v>
      </c>
      <c r="F10" s="55">
        <f t="shared" si="1"/>
        <v>2040</v>
      </c>
      <c r="G10" s="55">
        <f t="shared" si="2"/>
        <v>1912.5</v>
      </c>
      <c r="H10" s="56">
        <f>SUM(K10:AF10)</f>
        <v>288</v>
      </c>
      <c r="I10" s="57">
        <f>G10*H10</f>
        <v>550800</v>
      </c>
      <c r="J10" s="58"/>
      <c r="K10" s="59">
        <v>14</v>
      </c>
      <c r="L10" s="60">
        <f>K10</f>
        <v>14</v>
      </c>
      <c r="M10" s="60">
        <v>13</v>
      </c>
      <c r="N10" s="60">
        <f t="shared" si="3"/>
        <v>13</v>
      </c>
      <c r="O10" s="60">
        <f>N10</f>
        <v>13</v>
      </c>
      <c r="P10" s="60">
        <f t="shared" si="3"/>
        <v>13</v>
      </c>
      <c r="Q10" s="60">
        <f t="shared" si="3"/>
        <v>13</v>
      </c>
      <c r="R10" s="60">
        <f t="shared" si="3"/>
        <v>13</v>
      </c>
      <c r="S10" s="60">
        <f t="shared" si="3"/>
        <v>13</v>
      </c>
      <c r="T10" s="60">
        <f t="shared" si="3"/>
        <v>13</v>
      </c>
      <c r="U10" s="60">
        <f>T10</f>
        <v>13</v>
      </c>
      <c r="V10" s="60">
        <f t="shared" si="3"/>
        <v>13</v>
      </c>
      <c r="W10" s="60">
        <f t="shared" si="3"/>
        <v>13</v>
      </c>
      <c r="X10" s="60">
        <f t="shared" si="3"/>
        <v>13</v>
      </c>
      <c r="Y10" s="60">
        <f t="shared" si="3"/>
        <v>13</v>
      </c>
      <c r="Z10" s="60">
        <f t="shared" si="3"/>
        <v>13</v>
      </c>
      <c r="AA10" s="60">
        <f t="shared" si="3"/>
        <v>13</v>
      </c>
      <c r="AB10" s="60">
        <f t="shared" si="3"/>
        <v>13</v>
      </c>
      <c r="AC10" s="60">
        <f t="shared" si="4"/>
        <v>13</v>
      </c>
      <c r="AD10" s="60">
        <f t="shared" si="4"/>
        <v>13</v>
      </c>
      <c r="AE10" s="60">
        <f>AD10</f>
        <v>13</v>
      </c>
      <c r="AF10" s="61">
        <f t="shared" ref="AF10:AF11" si="5">AE10</f>
        <v>13</v>
      </c>
    </row>
    <row r="11" spans="1:32" s="28" customFormat="1" ht="47.45" customHeight="1" thickBot="1">
      <c r="A11" s="62"/>
      <c r="B11" s="63"/>
      <c r="C11" s="126"/>
      <c r="D11" s="64" t="s">
        <v>52</v>
      </c>
      <c r="E11" s="65">
        <v>2550</v>
      </c>
      <c r="F11" s="65">
        <f t="shared" si="1"/>
        <v>2040</v>
      </c>
      <c r="G11" s="65">
        <f t="shared" si="2"/>
        <v>1912.5</v>
      </c>
      <c r="H11" s="66">
        <f>SUM(K11:AF11)</f>
        <v>43</v>
      </c>
      <c r="I11" s="67">
        <f>G11*H11</f>
        <v>82237.5</v>
      </c>
      <c r="J11" s="127"/>
      <c r="K11" s="68">
        <v>2</v>
      </c>
      <c r="L11" s="69">
        <f>K11</f>
        <v>2</v>
      </c>
      <c r="M11" s="69">
        <f t="shared" si="3"/>
        <v>2</v>
      </c>
      <c r="N11" s="69">
        <f t="shared" si="3"/>
        <v>2</v>
      </c>
      <c r="O11" s="69">
        <f t="shared" si="3"/>
        <v>2</v>
      </c>
      <c r="P11" s="69">
        <f t="shared" si="3"/>
        <v>2</v>
      </c>
      <c r="Q11" s="69">
        <f t="shared" si="3"/>
        <v>2</v>
      </c>
      <c r="R11" s="69">
        <f t="shared" si="3"/>
        <v>2</v>
      </c>
      <c r="S11" s="69">
        <f t="shared" si="3"/>
        <v>2</v>
      </c>
      <c r="T11" s="69">
        <f t="shared" si="3"/>
        <v>2</v>
      </c>
      <c r="U11" s="69">
        <f>T11</f>
        <v>2</v>
      </c>
      <c r="V11" s="69">
        <f t="shared" si="3"/>
        <v>2</v>
      </c>
      <c r="W11" s="69">
        <f t="shared" si="3"/>
        <v>2</v>
      </c>
      <c r="X11" s="69">
        <f t="shared" si="3"/>
        <v>2</v>
      </c>
      <c r="Y11" s="69">
        <f>X11</f>
        <v>2</v>
      </c>
      <c r="Z11" s="69">
        <f t="shared" si="3"/>
        <v>2</v>
      </c>
      <c r="AA11" s="69">
        <f t="shared" si="3"/>
        <v>2</v>
      </c>
      <c r="AB11" s="69">
        <f t="shared" si="3"/>
        <v>2</v>
      </c>
      <c r="AC11" s="69">
        <f>AB11</f>
        <v>2</v>
      </c>
      <c r="AD11" s="69">
        <f t="shared" si="4"/>
        <v>2</v>
      </c>
      <c r="AE11" s="69">
        <f>AD11</f>
        <v>2</v>
      </c>
      <c r="AF11" s="70">
        <v>1</v>
      </c>
    </row>
    <row r="12" spans="1:32" s="73" customFormat="1" ht="29.25" customHeight="1">
      <c r="A12" s="71"/>
      <c r="B12" s="128"/>
      <c r="C12" s="129"/>
      <c r="D12" s="129"/>
      <c r="E12" s="130"/>
      <c r="F12" s="131"/>
      <c r="G12" s="130"/>
      <c r="H12" s="130"/>
      <c r="I12" s="130"/>
      <c r="J12" s="130"/>
      <c r="K12" s="132"/>
      <c r="L12" s="132"/>
      <c r="M12" s="132"/>
      <c r="N12" s="132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72"/>
    </row>
    <row r="13" spans="1:32" s="73" customFormat="1" ht="29.25" customHeight="1" thickBot="1">
      <c r="A13" s="71"/>
      <c r="B13" s="128"/>
      <c r="C13" s="129"/>
      <c r="D13" s="129"/>
      <c r="E13" s="130"/>
      <c r="F13" s="131"/>
      <c r="G13" s="130"/>
      <c r="H13" s="130"/>
      <c r="I13" s="134"/>
      <c r="J13" s="74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5"/>
      <c r="Y13" s="135"/>
      <c r="Z13" s="132"/>
      <c r="AA13" s="135"/>
      <c r="AB13" s="135"/>
      <c r="AC13" s="135"/>
      <c r="AD13" s="135"/>
      <c r="AE13" s="135"/>
      <c r="AF13" s="75"/>
    </row>
    <row r="14" spans="1:32" s="81" customFormat="1" ht="29.25" customHeight="1">
      <c r="A14" s="76" t="s">
        <v>30</v>
      </c>
      <c r="B14" s="77">
        <f>SUM(I8:I11)</f>
        <v>2216587.5</v>
      </c>
      <c r="C14" s="78"/>
      <c r="D14" s="136"/>
      <c r="E14" s="137"/>
      <c r="F14" s="138"/>
      <c r="G14" s="137"/>
      <c r="H14" s="139"/>
      <c r="I14" s="140" t="s">
        <v>31</v>
      </c>
      <c r="J14" s="79">
        <f>SUM(J8:J11)</f>
        <v>250000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36"/>
      <c r="Y14" s="136"/>
      <c r="Z14" s="141"/>
      <c r="AA14" s="136"/>
      <c r="AB14" s="136"/>
      <c r="AC14" s="136"/>
      <c r="AD14" s="136"/>
      <c r="AE14" s="136"/>
      <c r="AF14" s="80"/>
    </row>
    <row r="15" spans="1:32" s="81" customFormat="1" ht="29.25" customHeight="1" thickBot="1">
      <c r="A15" s="82" t="s">
        <v>32</v>
      </c>
      <c r="B15" s="83">
        <f>B14-J8</f>
        <v>1966587.5</v>
      </c>
      <c r="C15" s="84"/>
      <c r="D15" s="136"/>
      <c r="E15" s="137"/>
      <c r="F15" s="138"/>
      <c r="G15" s="137"/>
      <c r="H15" s="139"/>
      <c r="I15" s="142" t="s">
        <v>33</v>
      </c>
      <c r="J15" s="143" t="s">
        <v>34</v>
      </c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36"/>
      <c r="Y15" s="136"/>
      <c r="Z15" s="141"/>
      <c r="AA15" s="136"/>
      <c r="AB15" s="136"/>
      <c r="AC15" s="136"/>
      <c r="AD15" s="136"/>
      <c r="AE15" s="136"/>
      <c r="AF15" s="80"/>
    </row>
    <row r="16" spans="1:32" s="81" customFormat="1" ht="29.25" customHeight="1">
      <c r="A16" s="85" t="s">
        <v>3</v>
      </c>
      <c r="B16" s="144"/>
      <c r="C16" s="136"/>
      <c r="D16" s="136"/>
      <c r="E16" s="137"/>
      <c r="F16" s="138"/>
      <c r="G16" s="137"/>
      <c r="H16" s="139"/>
      <c r="I16" s="86" t="s">
        <v>35</v>
      </c>
      <c r="J16" s="87">
        <f>SUM(J14:J15)*5%</f>
        <v>12500</v>
      </c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36"/>
      <c r="Y16" s="136"/>
      <c r="Z16" s="141"/>
      <c r="AA16" s="136"/>
      <c r="AB16" s="136"/>
      <c r="AC16" s="136"/>
      <c r="AD16" s="136"/>
      <c r="AE16" s="136"/>
      <c r="AF16" s="80"/>
    </row>
    <row r="17" spans="1:32" s="81" customFormat="1" ht="29.25" customHeight="1" thickBot="1">
      <c r="A17" s="85"/>
      <c r="B17" s="144"/>
      <c r="C17" s="136"/>
      <c r="D17" s="136"/>
      <c r="E17" s="137"/>
      <c r="F17" s="138"/>
      <c r="G17" s="137"/>
      <c r="H17" s="139"/>
      <c r="I17" s="88" t="s">
        <v>36</v>
      </c>
      <c r="J17" s="89">
        <f>SUM(J14:J16)</f>
        <v>262500</v>
      </c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36"/>
      <c r="Y17" s="136"/>
      <c r="Z17" s="141"/>
      <c r="AA17" s="136"/>
      <c r="AB17" s="136"/>
      <c r="AC17" s="136"/>
      <c r="AD17" s="136"/>
      <c r="AE17" s="136"/>
      <c r="AF17" s="80"/>
    </row>
    <row r="18" spans="1:32" s="81" customFormat="1" ht="29.25" customHeight="1" thickTop="1" thickBot="1">
      <c r="A18" s="90"/>
      <c r="B18" s="91"/>
      <c r="C18" s="92"/>
      <c r="D18" s="92"/>
      <c r="E18" s="93"/>
      <c r="F18" s="94"/>
      <c r="G18" s="91"/>
      <c r="H18" s="91"/>
      <c r="I18" s="95"/>
      <c r="J18" s="96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2"/>
      <c r="Y18" s="92"/>
      <c r="Z18" s="97"/>
      <c r="AA18" s="92"/>
      <c r="AB18" s="92"/>
      <c r="AC18" s="92"/>
      <c r="AD18" s="92"/>
      <c r="AE18" s="92"/>
      <c r="AF18" s="98"/>
    </row>
    <row r="19" spans="1:32" s="81" customFormat="1" ht="29.25" customHeight="1">
      <c r="A19" s="85"/>
      <c r="B19" s="144"/>
      <c r="C19" s="136"/>
      <c r="D19" s="136"/>
      <c r="E19" s="137"/>
      <c r="F19" s="138"/>
      <c r="G19" s="144"/>
      <c r="H19" s="144"/>
      <c r="I19" s="144"/>
      <c r="J19" s="144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36"/>
      <c r="Y19" s="136"/>
      <c r="Z19" s="141"/>
      <c r="AA19" s="136"/>
      <c r="AB19" s="136"/>
      <c r="AC19" s="136"/>
      <c r="AD19" s="136"/>
      <c r="AE19" s="136"/>
      <c r="AF19" s="80"/>
    </row>
    <row r="20" spans="1:32" s="81" customFormat="1" ht="29.25" customHeight="1">
      <c r="A20" s="85"/>
      <c r="B20" s="144"/>
      <c r="C20" s="136"/>
      <c r="D20" s="136"/>
      <c r="E20" s="137"/>
      <c r="F20" s="138"/>
      <c r="G20" s="144"/>
      <c r="H20" s="144"/>
      <c r="I20" s="144"/>
      <c r="J20" s="144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36"/>
      <c r="Y20" s="136"/>
      <c r="Z20" s="141"/>
      <c r="AA20" s="136"/>
      <c r="AB20" s="136"/>
      <c r="AC20" s="136"/>
      <c r="AD20" s="136"/>
      <c r="AE20" s="136"/>
      <c r="AF20" s="80"/>
    </row>
    <row r="21" spans="1:32" s="100" customFormat="1" ht="29.25" customHeight="1">
      <c r="A21" s="99" t="s">
        <v>37</v>
      </c>
      <c r="B21" s="145" t="s">
        <v>3</v>
      </c>
      <c r="C21" s="146"/>
      <c r="D21" s="128" t="s">
        <v>38</v>
      </c>
      <c r="E21" s="146"/>
      <c r="F21" s="146"/>
      <c r="G21" s="146"/>
      <c r="H21" s="146"/>
      <c r="I21" s="146" t="s">
        <v>39</v>
      </c>
      <c r="J21" s="146"/>
      <c r="K21" s="146"/>
      <c r="L21" s="146"/>
      <c r="M21" s="146"/>
      <c r="N21" s="146"/>
      <c r="O21" s="147" t="s">
        <v>40</v>
      </c>
      <c r="P21" s="147"/>
      <c r="Q21" s="147"/>
      <c r="R21" s="147"/>
      <c r="S21" s="147"/>
      <c r="T21" s="147"/>
      <c r="U21" s="147"/>
      <c r="V21" s="147"/>
      <c r="W21" s="147"/>
      <c r="X21" s="146"/>
      <c r="Y21" s="146"/>
      <c r="Z21" s="148"/>
      <c r="AA21" s="149"/>
      <c r="AB21" s="149"/>
      <c r="AC21" s="149"/>
      <c r="AD21" s="149"/>
      <c r="AE21" s="149"/>
      <c r="AF21" s="101"/>
    </row>
    <row r="22" spans="1:32" s="100" customFormat="1" ht="29.25" customHeight="1">
      <c r="A22" s="99"/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7"/>
      <c r="Y22" s="146"/>
      <c r="Z22" s="150"/>
      <c r="AA22" s="149"/>
      <c r="AB22" s="149"/>
      <c r="AC22" s="149"/>
      <c r="AD22" s="149"/>
      <c r="AE22" s="149"/>
      <c r="AF22" s="101"/>
    </row>
    <row r="23" spans="1:32" s="103" customFormat="1" ht="29.25" customHeight="1" thickBot="1">
      <c r="A23" s="102"/>
      <c r="B23" s="151"/>
      <c r="C23" s="152"/>
      <c r="D23" s="152"/>
      <c r="E23" s="153"/>
      <c r="F23" s="154"/>
      <c r="G23" s="153"/>
      <c r="H23" s="155"/>
      <c r="I23" s="155"/>
      <c r="J23" s="153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2"/>
      <c r="Y23" s="152"/>
      <c r="Z23" s="156"/>
      <c r="AA23" s="152"/>
      <c r="AB23" s="152"/>
      <c r="AC23" s="152"/>
      <c r="AD23" s="152"/>
      <c r="AE23" s="152"/>
      <c r="AF23" s="104"/>
    </row>
    <row r="24" spans="1:32" s="111" customFormat="1" ht="29.25" customHeight="1">
      <c r="A24" s="105" t="s">
        <v>41</v>
      </c>
      <c r="B24" s="106" t="s">
        <v>42</v>
      </c>
      <c r="C24" s="107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9"/>
      <c r="AA24" s="108"/>
      <c r="AB24" s="108"/>
      <c r="AC24" s="108"/>
      <c r="AD24" s="108"/>
      <c r="AE24" s="108"/>
      <c r="AF24" s="110"/>
    </row>
    <row r="25" spans="1:32" s="111" customFormat="1" ht="29.25" customHeight="1">
      <c r="A25" s="112"/>
      <c r="B25" s="113" t="s">
        <v>43</v>
      </c>
      <c r="C25" s="157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9"/>
      <c r="AA25" s="158"/>
      <c r="AB25" s="158"/>
      <c r="AC25" s="158"/>
      <c r="AD25" s="158"/>
      <c r="AE25" s="158"/>
      <c r="AF25" s="110"/>
    </row>
    <row r="26" spans="1:32" s="111" customFormat="1" ht="29.25" customHeight="1">
      <c r="A26" s="112"/>
      <c r="B26" s="113" t="s">
        <v>44</v>
      </c>
      <c r="C26" s="157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9"/>
      <c r="AA26" s="158"/>
      <c r="AB26" s="158"/>
      <c r="AC26" s="158"/>
      <c r="AD26" s="158"/>
      <c r="AE26" s="158"/>
      <c r="AF26" s="110"/>
    </row>
    <row r="27" spans="1:32" s="111" customFormat="1" ht="29.25" customHeight="1">
      <c r="A27" s="112"/>
      <c r="B27" s="113" t="s">
        <v>45</v>
      </c>
      <c r="C27" s="157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9"/>
      <c r="AA27" s="158"/>
      <c r="AB27" s="158"/>
      <c r="AC27" s="158"/>
      <c r="AD27" s="158"/>
      <c r="AE27" s="158"/>
      <c r="AF27" s="110"/>
    </row>
    <row r="28" spans="1:32" s="111" customFormat="1" ht="29.25" customHeight="1">
      <c r="A28" s="112"/>
      <c r="B28" s="114" t="s">
        <v>46</v>
      </c>
      <c r="C28" s="157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9"/>
      <c r="AA28" s="158"/>
      <c r="AB28" s="158"/>
      <c r="AC28" s="158"/>
      <c r="AD28" s="158"/>
      <c r="AE28" s="158"/>
      <c r="AF28" s="110"/>
    </row>
    <row r="29" spans="1:32" s="111" customFormat="1" ht="29.25" customHeight="1">
      <c r="A29" s="112"/>
      <c r="B29" s="113" t="s">
        <v>47</v>
      </c>
      <c r="C29" s="157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9"/>
      <c r="AA29" s="158"/>
      <c r="AB29" s="158"/>
      <c r="AC29" s="158"/>
      <c r="AD29" s="158"/>
      <c r="AE29" s="158"/>
      <c r="AF29" s="110"/>
    </row>
    <row r="30" spans="1:32" s="111" customFormat="1" ht="29.25" customHeight="1">
      <c r="A30" s="112"/>
      <c r="B30" s="113" t="s">
        <v>48</v>
      </c>
      <c r="C30" s="157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9"/>
      <c r="AA30" s="158"/>
      <c r="AB30" s="158"/>
      <c r="AC30" s="158"/>
      <c r="AD30" s="158"/>
      <c r="AE30" s="158"/>
      <c r="AF30" s="110"/>
    </row>
    <row r="31" spans="1:32" s="111" customFormat="1" ht="29.25" customHeight="1">
      <c r="A31" s="112"/>
      <c r="B31" s="113" t="s">
        <v>49</v>
      </c>
      <c r="C31" s="157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9"/>
      <c r="AA31" s="158"/>
      <c r="AB31" s="158"/>
      <c r="AC31" s="158"/>
      <c r="AD31" s="158"/>
      <c r="AE31" s="158"/>
      <c r="AF31" s="110"/>
    </row>
    <row r="32" spans="1:32" s="111" customFormat="1" ht="29.25" customHeight="1" thickBot="1">
      <c r="A32" s="115"/>
      <c r="B32" s="116" t="s">
        <v>50</v>
      </c>
      <c r="C32" s="117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9"/>
      <c r="AA32" s="118"/>
      <c r="AB32" s="118"/>
      <c r="AC32" s="118"/>
      <c r="AD32" s="118"/>
      <c r="AE32" s="118"/>
      <c r="AF32" s="120"/>
    </row>
  </sheetData>
  <mergeCells count="18">
    <mergeCell ref="B14:C14"/>
    <mergeCell ref="B15:C15"/>
    <mergeCell ref="A24:A32"/>
    <mergeCell ref="G5:G7"/>
    <mergeCell ref="H5:H7"/>
    <mergeCell ref="I5:I7"/>
    <mergeCell ref="J5:J7"/>
    <mergeCell ref="A8:A11"/>
    <mergeCell ref="B8:B11"/>
    <mergeCell ref="C8:C9"/>
    <mergeCell ref="J9:J11"/>
    <mergeCell ref="C10:C11"/>
    <mergeCell ref="A5:A7"/>
    <mergeCell ref="B5:B7"/>
    <mergeCell ref="C5:C7"/>
    <mergeCell ref="D5:D7"/>
    <mergeCell ref="E5:E7"/>
    <mergeCell ref="F5:F7"/>
  </mergeCells>
  <phoneticPr fontId="2" type="noConversion"/>
  <printOptions horizontalCentered="1"/>
  <pageMargins left="0" right="0" top="0.59055118110236227" bottom="3.937007874015748E-2" header="0.15748031496062992" footer="0.19685039370078741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57E2-4319-482B-8FB8-4748E4269EAE}">
  <sheetPr>
    <tabColor rgb="FF00B0F0"/>
    <pageSetUpPr fitToPage="1"/>
  </sheetPr>
  <dimension ref="A1:AF32"/>
  <sheetViews>
    <sheetView showGridLines="0" view="pageBreakPreview" zoomScale="60" zoomScaleNormal="70" workbookViewId="0">
      <selection activeCell="T14" sqref="T14"/>
    </sheetView>
  </sheetViews>
  <sheetFormatPr defaultColWidth="8.69921875" defaultRowHeight="25.7"/>
  <cols>
    <col min="1" max="1" width="21.546875" style="2" customWidth="1"/>
    <col min="2" max="2" width="20.296875" style="2" customWidth="1"/>
    <col min="3" max="3" width="15.34765625" style="3" customWidth="1"/>
    <col min="4" max="4" width="9.546875" style="3" customWidth="1"/>
    <col min="5" max="5" width="11.296875" style="4" customWidth="1"/>
    <col min="6" max="6" width="11.546875" style="5" customWidth="1"/>
    <col min="7" max="7" width="11.546875" style="4" customWidth="1"/>
    <col min="8" max="8" width="10.3984375" style="121" customWidth="1"/>
    <col min="9" max="9" width="14.546875" style="121" customWidth="1"/>
    <col min="10" max="10" width="14.1484375" style="4" customWidth="1"/>
    <col min="11" max="23" width="4.75" style="7" customWidth="1"/>
    <col min="24" max="25" width="4.75" style="3" customWidth="1"/>
    <col min="26" max="26" width="4.75" style="7" customWidth="1"/>
    <col min="27" max="32" width="4.75" style="3" customWidth="1"/>
    <col min="33" max="16384" width="8.69921875" style="2"/>
  </cols>
  <sheetData>
    <row r="1" spans="1:32" ht="30" customHeight="1">
      <c r="A1" s="1" t="s">
        <v>0</v>
      </c>
      <c r="H1" s="6"/>
      <c r="I1" s="6"/>
      <c r="J1" s="6"/>
    </row>
    <row r="2" spans="1:32" s="8" customFormat="1" ht="30" customHeight="1">
      <c r="C2" s="9"/>
      <c r="D2" s="9"/>
      <c r="E2" s="10"/>
      <c r="F2" s="11"/>
      <c r="G2" s="12"/>
      <c r="H2" s="13"/>
      <c r="I2" s="12" t="s">
        <v>1</v>
      </c>
      <c r="J2" s="13" t="s">
        <v>2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9"/>
      <c r="Y2" s="9"/>
      <c r="Z2" s="14"/>
      <c r="AA2" s="9"/>
      <c r="AB2" s="9"/>
      <c r="AC2" s="9"/>
      <c r="AD2" s="9"/>
      <c r="AE2" s="9"/>
      <c r="AF2" s="9"/>
    </row>
    <row r="3" spans="1:32" s="8" customFormat="1" ht="30" customHeight="1">
      <c r="B3" s="8" t="s">
        <v>3</v>
      </c>
      <c r="C3" s="9"/>
      <c r="D3" s="9"/>
      <c r="E3" s="10"/>
      <c r="F3" s="11"/>
      <c r="G3" s="12"/>
      <c r="H3" s="13"/>
      <c r="I3" s="12" t="s">
        <v>4</v>
      </c>
      <c r="J3" s="13" t="s">
        <v>5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9"/>
      <c r="Y3" s="9"/>
      <c r="Z3" s="14"/>
      <c r="AA3" s="9"/>
      <c r="AB3" s="9"/>
      <c r="AC3" s="9"/>
      <c r="AD3" s="9"/>
      <c r="AE3" s="9"/>
      <c r="AF3" s="9"/>
    </row>
    <row r="4" spans="1:32" s="8" customFormat="1" ht="29.25" customHeight="1" thickBot="1">
      <c r="A4" s="15" t="s">
        <v>6</v>
      </c>
      <c r="C4" s="9"/>
      <c r="D4" s="9"/>
      <c r="E4" s="10"/>
      <c r="F4" s="11"/>
      <c r="G4" s="16"/>
      <c r="H4" s="17"/>
      <c r="I4" s="16" t="s">
        <v>7</v>
      </c>
      <c r="J4" s="17" t="s">
        <v>8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9"/>
      <c r="Y4" s="9"/>
      <c r="Z4" s="14"/>
      <c r="AA4" s="9"/>
      <c r="AB4" s="9"/>
      <c r="AC4" s="9"/>
      <c r="AD4" s="9"/>
      <c r="AE4" s="9"/>
      <c r="AF4" s="9"/>
    </row>
    <row r="5" spans="1:32" s="28" customFormat="1" ht="29.25" customHeight="1">
      <c r="A5" s="18" t="s">
        <v>9</v>
      </c>
      <c r="B5" s="19" t="s">
        <v>10</v>
      </c>
      <c r="C5" s="20" t="s">
        <v>11</v>
      </c>
      <c r="D5" s="21" t="s">
        <v>12</v>
      </c>
      <c r="E5" s="22" t="s">
        <v>13</v>
      </c>
      <c r="F5" s="22" t="s">
        <v>14</v>
      </c>
      <c r="G5" s="22" t="s">
        <v>15</v>
      </c>
      <c r="H5" s="21" t="s">
        <v>16</v>
      </c>
      <c r="I5" s="23" t="s">
        <v>17</v>
      </c>
      <c r="J5" s="24" t="s">
        <v>18</v>
      </c>
      <c r="K5" s="25" t="s">
        <v>19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7"/>
    </row>
    <row r="6" spans="1:32" s="28" customFormat="1" ht="29.25" customHeight="1">
      <c r="A6" s="29"/>
      <c r="B6" s="30"/>
      <c r="C6" s="31"/>
      <c r="D6" s="32"/>
      <c r="E6" s="33"/>
      <c r="F6" s="33"/>
      <c r="G6" s="33"/>
      <c r="H6" s="32"/>
      <c r="I6" s="34"/>
      <c r="J6" s="35"/>
      <c r="K6" s="36">
        <v>7</v>
      </c>
      <c r="L6" s="122">
        <f>K6+1</f>
        <v>8</v>
      </c>
      <c r="M6" s="122">
        <f t="shared" ref="M6:AF6" si="0">L6+1</f>
        <v>9</v>
      </c>
      <c r="N6" s="122">
        <f t="shared" si="0"/>
        <v>10</v>
      </c>
      <c r="O6" s="122">
        <f t="shared" si="0"/>
        <v>11</v>
      </c>
      <c r="P6" s="122">
        <f t="shared" si="0"/>
        <v>12</v>
      </c>
      <c r="Q6" s="122">
        <f t="shared" si="0"/>
        <v>13</v>
      </c>
      <c r="R6" s="122">
        <f t="shared" si="0"/>
        <v>14</v>
      </c>
      <c r="S6" s="122">
        <f t="shared" si="0"/>
        <v>15</v>
      </c>
      <c r="T6" s="122">
        <f t="shared" si="0"/>
        <v>16</v>
      </c>
      <c r="U6" s="122">
        <f t="shared" si="0"/>
        <v>17</v>
      </c>
      <c r="V6" s="122">
        <f t="shared" si="0"/>
        <v>18</v>
      </c>
      <c r="W6" s="122">
        <f t="shared" si="0"/>
        <v>19</v>
      </c>
      <c r="X6" s="122">
        <f t="shared" si="0"/>
        <v>20</v>
      </c>
      <c r="Y6" s="122">
        <f t="shared" si="0"/>
        <v>21</v>
      </c>
      <c r="Z6" s="122">
        <f t="shared" si="0"/>
        <v>22</v>
      </c>
      <c r="AA6" s="122">
        <f t="shared" si="0"/>
        <v>23</v>
      </c>
      <c r="AB6" s="122">
        <f t="shared" si="0"/>
        <v>24</v>
      </c>
      <c r="AC6" s="122">
        <f t="shared" si="0"/>
        <v>25</v>
      </c>
      <c r="AD6" s="122">
        <f t="shared" si="0"/>
        <v>26</v>
      </c>
      <c r="AE6" s="122">
        <f t="shared" si="0"/>
        <v>27</v>
      </c>
      <c r="AF6" s="37">
        <f t="shared" si="0"/>
        <v>28</v>
      </c>
    </row>
    <row r="7" spans="1:32" s="28" customFormat="1" ht="29.25" customHeight="1">
      <c r="A7" s="29"/>
      <c r="B7" s="38"/>
      <c r="C7" s="31"/>
      <c r="D7" s="32"/>
      <c r="E7" s="33"/>
      <c r="F7" s="33"/>
      <c r="G7" s="33"/>
      <c r="H7" s="32"/>
      <c r="I7" s="34"/>
      <c r="J7" s="35"/>
      <c r="K7" s="123" t="s">
        <v>20</v>
      </c>
      <c r="L7" s="123" t="s">
        <v>21</v>
      </c>
      <c r="M7" s="123" t="s">
        <v>22</v>
      </c>
      <c r="N7" s="123" t="s">
        <v>21</v>
      </c>
      <c r="O7" s="124" t="s">
        <v>23</v>
      </c>
      <c r="P7" s="125" t="s">
        <v>24</v>
      </c>
      <c r="Q7" s="125" t="s">
        <v>24</v>
      </c>
      <c r="R7" s="123" t="s">
        <v>20</v>
      </c>
      <c r="S7" s="123" t="s">
        <v>21</v>
      </c>
      <c r="T7" s="123" t="s">
        <v>22</v>
      </c>
      <c r="U7" s="123" t="s">
        <v>21</v>
      </c>
      <c r="V7" s="124" t="s">
        <v>23</v>
      </c>
      <c r="W7" s="125" t="s">
        <v>24</v>
      </c>
      <c r="X7" s="125" t="s">
        <v>24</v>
      </c>
      <c r="Y7" s="123" t="s">
        <v>20</v>
      </c>
      <c r="Z7" s="123" t="s">
        <v>21</v>
      </c>
      <c r="AA7" s="123" t="s">
        <v>22</v>
      </c>
      <c r="AB7" s="123" t="s">
        <v>21</v>
      </c>
      <c r="AC7" s="124" t="s">
        <v>23</v>
      </c>
      <c r="AD7" s="125" t="s">
        <v>24</v>
      </c>
      <c r="AE7" s="125" t="s">
        <v>24</v>
      </c>
      <c r="AF7" s="39" t="s">
        <v>20</v>
      </c>
    </row>
    <row r="8" spans="1:32" s="28" customFormat="1" ht="47.45" customHeight="1">
      <c r="A8" s="40" t="s">
        <v>25</v>
      </c>
      <c r="B8" s="41" t="s">
        <v>26</v>
      </c>
      <c r="C8" s="42" t="s">
        <v>27</v>
      </c>
      <c r="D8" s="43" t="s">
        <v>28</v>
      </c>
      <c r="E8" s="44">
        <v>1950</v>
      </c>
      <c r="F8" s="44">
        <f t="shared" ref="F8:F11" si="1">E8*0.8</f>
        <v>1560</v>
      </c>
      <c r="G8" s="44">
        <f t="shared" ref="G8:G11" si="2">E8*0.75</f>
        <v>1462.5</v>
      </c>
      <c r="H8" s="45">
        <f>SUM(K8:AF8)</f>
        <v>960</v>
      </c>
      <c r="I8" s="46">
        <f>G8*H8</f>
        <v>1404000</v>
      </c>
      <c r="J8" s="47">
        <v>250000</v>
      </c>
      <c r="K8" s="48">
        <v>44</v>
      </c>
      <c r="L8" s="49">
        <f>K8</f>
        <v>44</v>
      </c>
      <c r="M8" s="49">
        <f t="shared" ref="M8:AE11" si="3">L8</f>
        <v>44</v>
      </c>
      <c r="N8" s="49">
        <f t="shared" si="3"/>
        <v>44</v>
      </c>
      <c r="O8" s="49">
        <f t="shared" si="3"/>
        <v>44</v>
      </c>
      <c r="P8" s="49">
        <f t="shared" si="3"/>
        <v>44</v>
      </c>
      <c r="Q8" s="49">
        <f t="shared" si="3"/>
        <v>44</v>
      </c>
      <c r="R8" s="49">
        <f t="shared" si="3"/>
        <v>44</v>
      </c>
      <c r="S8" s="49">
        <f t="shared" si="3"/>
        <v>44</v>
      </c>
      <c r="T8" s="49">
        <f t="shared" si="3"/>
        <v>44</v>
      </c>
      <c r="U8" s="49">
        <f t="shared" si="3"/>
        <v>44</v>
      </c>
      <c r="V8" s="49">
        <f t="shared" si="3"/>
        <v>44</v>
      </c>
      <c r="W8" s="49">
        <f t="shared" si="3"/>
        <v>44</v>
      </c>
      <c r="X8" s="49">
        <f t="shared" si="3"/>
        <v>44</v>
      </c>
      <c r="Y8" s="49">
        <v>43</v>
      </c>
      <c r="Z8" s="49">
        <f t="shared" si="3"/>
        <v>43</v>
      </c>
      <c r="AA8" s="49">
        <f t="shared" si="3"/>
        <v>43</v>
      </c>
      <c r="AB8" s="49">
        <f t="shared" si="3"/>
        <v>43</v>
      </c>
      <c r="AC8" s="49">
        <f t="shared" si="3"/>
        <v>43</v>
      </c>
      <c r="AD8" s="49">
        <f t="shared" si="3"/>
        <v>43</v>
      </c>
      <c r="AE8" s="49">
        <f t="shared" si="3"/>
        <v>43</v>
      </c>
      <c r="AF8" s="50">
        <f>AE8</f>
        <v>43</v>
      </c>
    </row>
    <row r="9" spans="1:32" s="28" customFormat="1" ht="47.45" customHeight="1">
      <c r="A9" s="51"/>
      <c r="B9" s="52"/>
      <c r="C9" s="53"/>
      <c r="D9" s="54" t="s">
        <v>28</v>
      </c>
      <c r="E9" s="55">
        <v>1950</v>
      </c>
      <c r="F9" s="55">
        <f t="shared" si="1"/>
        <v>1560</v>
      </c>
      <c r="G9" s="55">
        <f t="shared" si="2"/>
        <v>1462.5</v>
      </c>
      <c r="H9" s="56">
        <f>SUM(K9:AF9)</f>
        <v>144</v>
      </c>
      <c r="I9" s="57">
        <f>G9*H9</f>
        <v>210600</v>
      </c>
      <c r="J9" s="58" t="s">
        <v>29</v>
      </c>
      <c r="K9" s="59">
        <v>7</v>
      </c>
      <c r="L9" s="60">
        <f>K9</f>
        <v>7</v>
      </c>
      <c r="M9" s="60">
        <f t="shared" si="3"/>
        <v>7</v>
      </c>
      <c r="N9" s="60">
        <f t="shared" si="3"/>
        <v>7</v>
      </c>
      <c r="O9" s="60">
        <f t="shared" si="3"/>
        <v>7</v>
      </c>
      <c r="P9" s="60">
        <f t="shared" si="3"/>
        <v>7</v>
      </c>
      <c r="Q9" s="60">
        <f t="shared" si="3"/>
        <v>7</v>
      </c>
      <c r="R9" s="60">
        <f t="shared" si="3"/>
        <v>7</v>
      </c>
      <c r="S9" s="60">
        <f t="shared" si="3"/>
        <v>7</v>
      </c>
      <c r="T9" s="60">
        <f t="shared" si="3"/>
        <v>7</v>
      </c>
      <c r="U9" s="60">
        <f t="shared" si="3"/>
        <v>7</v>
      </c>
      <c r="V9" s="60">
        <f t="shared" si="3"/>
        <v>7</v>
      </c>
      <c r="W9" s="60">
        <v>6</v>
      </c>
      <c r="X9" s="60">
        <f t="shared" si="3"/>
        <v>6</v>
      </c>
      <c r="Y9" s="60">
        <f>X9</f>
        <v>6</v>
      </c>
      <c r="Z9" s="60">
        <f t="shared" si="3"/>
        <v>6</v>
      </c>
      <c r="AA9" s="60">
        <f t="shared" si="3"/>
        <v>6</v>
      </c>
      <c r="AB9" s="60">
        <f t="shared" si="3"/>
        <v>6</v>
      </c>
      <c r="AC9" s="60">
        <f t="shared" si="3"/>
        <v>6</v>
      </c>
      <c r="AD9" s="60">
        <f t="shared" si="3"/>
        <v>6</v>
      </c>
      <c r="AE9" s="60">
        <f t="shared" si="3"/>
        <v>6</v>
      </c>
      <c r="AF9" s="61">
        <f>AE9</f>
        <v>6</v>
      </c>
    </row>
    <row r="10" spans="1:32" s="28" customFormat="1" ht="47.45" customHeight="1">
      <c r="A10" s="51"/>
      <c r="B10" s="52"/>
      <c r="C10" s="53" t="str">
        <f>C8</f>
        <v>0700-2300</v>
      </c>
      <c r="D10" s="54" t="s">
        <v>28</v>
      </c>
      <c r="E10" s="55">
        <v>1950</v>
      </c>
      <c r="F10" s="55">
        <f t="shared" si="1"/>
        <v>1560</v>
      </c>
      <c r="G10" s="55">
        <f t="shared" si="2"/>
        <v>1462.5</v>
      </c>
      <c r="H10" s="56">
        <f>SUM(K10:AF10)</f>
        <v>384</v>
      </c>
      <c r="I10" s="57">
        <f>G10*H10</f>
        <v>561600</v>
      </c>
      <c r="J10" s="58"/>
      <c r="K10" s="59">
        <v>18</v>
      </c>
      <c r="L10" s="60">
        <f>K10</f>
        <v>18</v>
      </c>
      <c r="M10" s="60">
        <f t="shared" si="3"/>
        <v>18</v>
      </c>
      <c r="N10" s="60">
        <f t="shared" si="3"/>
        <v>18</v>
      </c>
      <c r="O10" s="60">
        <f t="shared" si="3"/>
        <v>18</v>
      </c>
      <c r="P10" s="60">
        <f t="shared" si="3"/>
        <v>18</v>
      </c>
      <c r="Q10" s="60">
        <f t="shared" si="3"/>
        <v>18</v>
      </c>
      <c r="R10" s="60">
        <f t="shared" si="3"/>
        <v>18</v>
      </c>
      <c r="S10" s="60">
        <f t="shared" si="3"/>
        <v>18</v>
      </c>
      <c r="T10" s="60">
        <f t="shared" si="3"/>
        <v>18</v>
      </c>
      <c r="U10" s="60">
        <v>17</v>
      </c>
      <c r="V10" s="60">
        <f t="shared" si="3"/>
        <v>17</v>
      </c>
      <c r="W10" s="60">
        <f t="shared" si="3"/>
        <v>17</v>
      </c>
      <c r="X10" s="60">
        <f t="shared" si="3"/>
        <v>17</v>
      </c>
      <c r="Y10" s="60">
        <f t="shared" si="3"/>
        <v>17</v>
      </c>
      <c r="Z10" s="60">
        <f t="shared" si="3"/>
        <v>17</v>
      </c>
      <c r="AA10" s="60">
        <f t="shared" si="3"/>
        <v>17</v>
      </c>
      <c r="AB10" s="60">
        <f t="shared" si="3"/>
        <v>17</v>
      </c>
      <c r="AC10" s="60">
        <f t="shared" si="3"/>
        <v>17</v>
      </c>
      <c r="AD10" s="60">
        <f t="shared" si="3"/>
        <v>17</v>
      </c>
      <c r="AE10" s="60">
        <f>AD10</f>
        <v>17</v>
      </c>
      <c r="AF10" s="61">
        <f t="shared" ref="AF10:AF11" si="4">AE10</f>
        <v>17</v>
      </c>
    </row>
    <row r="11" spans="1:32" s="28" customFormat="1" ht="47.45" customHeight="1" thickBot="1">
      <c r="A11" s="62"/>
      <c r="B11" s="63"/>
      <c r="C11" s="126"/>
      <c r="D11" s="64" t="s">
        <v>28</v>
      </c>
      <c r="E11" s="65">
        <v>1950</v>
      </c>
      <c r="F11" s="65">
        <f t="shared" si="1"/>
        <v>1560</v>
      </c>
      <c r="G11" s="65">
        <f t="shared" si="2"/>
        <v>1462.5</v>
      </c>
      <c r="H11" s="66">
        <f>SUM(K11:AF11)</f>
        <v>58</v>
      </c>
      <c r="I11" s="67">
        <f>G11*H11</f>
        <v>84825</v>
      </c>
      <c r="J11" s="127"/>
      <c r="K11" s="68">
        <v>3</v>
      </c>
      <c r="L11" s="69">
        <f>K11</f>
        <v>3</v>
      </c>
      <c r="M11" s="69">
        <f t="shared" si="3"/>
        <v>3</v>
      </c>
      <c r="N11" s="69">
        <f t="shared" si="3"/>
        <v>3</v>
      </c>
      <c r="O11" s="69">
        <f t="shared" si="3"/>
        <v>3</v>
      </c>
      <c r="P11" s="69">
        <f t="shared" si="3"/>
        <v>3</v>
      </c>
      <c r="Q11" s="69">
        <f t="shared" si="3"/>
        <v>3</v>
      </c>
      <c r="R11" s="69">
        <f t="shared" si="3"/>
        <v>3</v>
      </c>
      <c r="S11" s="69">
        <f t="shared" si="3"/>
        <v>3</v>
      </c>
      <c r="T11" s="69">
        <f t="shared" si="3"/>
        <v>3</v>
      </c>
      <c r="U11" s="69">
        <f>T11</f>
        <v>3</v>
      </c>
      <c r="V11" s="69">
        <f t="shared" si="3"/>
        <v>3</v>
      </c>
      <c r="W11" s="69">
        <f t="shared" si="3"/>
        <v>3</v>
      </c>
      <c r="X11" s="69">
        <f t="shared" si="3"/>
        <v>3</v>
      </c>
      <c r="Y11" s="69">
        <v>2</v>
      </c>
      <c r="Z11" s="69">
        <f t="shared" si="3"/>
        <v>2</v>
      </c>
      <c r="AA11" s="69">
        <f t="shared" si="3"/>
        <v>2</v>
      </c>
      <c r="AB11" s="69">
        <f t="shared" si="3"/>
        <v>2</v>
      </c>
      <c r="AC11" s="69">
        <v>2</v>
      </c>
      <c r="AD11" s="69">
        <f t="shared" si="3"/>
        <v>2</v>
      </c>
      <c r="AE11" s="69">
        <f>AD11</f>
        <v>2</v>
      </c>
      <c r="AF11" s="70">
        <f t="shared" si="4"/>
        <v>2</v>
      </c>
    </row>
    <row r="12" spans="1:32" s="73" customFormat="1" ht="29.25" customHeight="1">
      <c r="A12" s="71"/>
      <c r="B12" s="128"/>
      <c r="C12" s="129"/>
      <c r="D12" s="129"/>
      <c r="E12" s="130"/>
      <c r="F12" s="131"/>
      <c r="G12" s="130"/>
      <c r="H12" s="130"/>
      <c r="I12" s="130"/>
      <c r="J12" s="130"/>
      <c r="K12" s="132"/>
      <c r="L12" s="132"/>
      <c r="M12" s="132"/>
      <c r="N12" s="132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72"/>
    </row>
    <row r="13" spans="1:32" s="73" customFormat="1" ht="29.25" customHeight="1" thickBot="1">
      <c r="A13" s="71"/>
      <c r="B13" s="128"/>
      <c r="C13" s="129"/>
      <c r="D13" s="129"/>
      <c r="E13" s="130"/>
      <c r="F13" s="131"/>
      <c r="G13" s="130"/>
      <c r="H13" s="130"/>
      <c r="I13" s="134"/>
      <c r="J13" s="74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5"/>
      <c r="Y13" s="135"/>
      <c r="Z13" s="132"/>
      <c r="AA13" s="135"/>
      <c r="AB13" s="135"/>
      <c r="AC13" s="135"/>
      <c r="AD13" s="135"/>
      <c r="AE13" s="135"/>
      <c r="AF13" s="75"/>
    </row>
    <row r="14" spans="1:32" s="81" customFormat="1" ht="29.25" customHeight="1">
      <c r="A14" s="76" t="s">
        <v>30</v>
      </c>
      <c r="B14" s="77">
        <f>SUM(I8:I11)</f>
        <v>2261025</v>
      </c>
      <c r="C14" s="78"/>
      <c r="D14" s="136"/>
      <c r="E14" s="137"/>
      <c r="F14" s="138"/>
      <c r="G14" s="137"/>
      <c r="H14" s="139"/>
      <c r="I14" s="140" t="s">
        <v>31</v>
      </c>
      <c r="J14" s="79">
        <f>SUM(J8:J11)</f>
        <v>250000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36"/>
      <c r="Y14" s="136"/>
      <c r="Z14" s="141"/>
      <c r="AA14" s="136"/>
      <c r="AB14" s="136"/>
      <c r="AC14" s="136"/>
      <c r="AD14" s="136"/>
      <c r="AE14" s="136"/>
      <c r="AF14" s="80"/>
    </row>
    <row r="15" spans="1:32" s="81" customFormat="1" ht="29.25" customHeight="1" thickBot="1">
      <c r="A15" s="82" t="s">
        <v>32</v>
      </c>
      <c r="B15" s="83">
        <f>B14-J8</f>
        <v>2011025</v>
      </c>
      <c r="C15" s="84"/>
      <c r="D15" s="136"/>
      <c r="E15" s="137"/>
      <c r="F15" s="138"/>
      <c r="G15" s="137"/>
      <c r="H15" s="139"/>
      <c r="I15" s="142" t="s">
        <v>33</v>
      </c>
      <c r="J15" s="143" t="s">
        <v>34</v>
      </c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36"/>
      <c r="Y15" s="136"/>
      <c r="Z15" s="141"/>
      <c r="AA15" s="136"/>
      <c r="AB15" s="136"/>
      <c r="AC15" s="136"/>
      <c r="AD15" s="136"/>
      <c r="AE15" s="136"/>
      <c r="AF15" s="80"/>
    </row>
    <row r="16" spans="1:32" s="81" customFormat="1" ht="29.25" customHeight="1">
      <c r="A16" s="85" t="s">
        <v>3</v>
      </c>
      <c r="B16" s="144"/>
      <c r="C16" s="136"/>
      <c r="D16" s="136"/>
      <c r="E16" s="137"/>
      <c r="F16" s="138"/>
      <c r="G16" s="137"/>
      <c r="H16" s="139"/>
      <c r="I16" s="86" t="s">
        <v>35</v>
      </c>
      <c r="J16" s="87">
        <f>SUM(J14:J15)*5%</f>
        <v>12500</v>
      </c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36"/>
      <c r="Y16" s="136"/>
      <c r="Z16" s="141"/>
      <c r="AA16" s="136"/>
      <c r="AB16" s="136"/>
      <c r="AC16" s="136"/>
      <c r="AD16" s="136"/>
      <c r="AE16" s="136"/>
      <c r="AF16" s="80"/>
    </row>
    <row r="17" spans="1:32" s="81" customFormat="1" ht="29.25" customHeight="1" thickBot="1">
      <c r="A17" s="85"/>
      <c r="B17" s="144"/>
      <c r="C17" s="136"/>
      <c r="D17" s="136"/>
      <c r="E17" s="137"/>
      <c r="F17" s="138"/>
      <c r="G17" s="137"/>
      <c r="H17" s="139"/>
      <c r="I17" s="88" t="s">
        <v>36</v>
      </c>
      <c r="J17" s="89">
        <f>SUM(J14:J16)</f>
        <v>262500</v>
      </c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36"/>
      <c r="Y17" s="136"/>
      <c r="Z17" s="141"/>
      <c r="AA17" s="136"/>
      <c r="AB17" s="136"/>
      <c r="AC17" s="136"/>
      <c r="AD17" s="136"/>
      <c r="AE17" s="136"/>
      <c r="AF17" s="80"/>
    </row>
    <row r="18" spans="1:32" s="81" customFormat="1" ht="29.25" customHeight="1" thickTop="1" thickBot="1">
      <c r="A18" s="90"/>
      <c r="B18" s="91"/>
      <c r="C18" s="92"/>
      <c r="D18" s="92"/>
      <c r="E18" s="93"/>
      <c r="F18" s="94"/>
      <c r="G18" s="91"/>
      <c r="H18" s="91"/>
      <c r="I18" s="95"/>
      <c r="J18" s="96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2"/>
      <c r="Y18" s="92"/>
      <c r="Z18" s="97"/>
      <c r="AA18" s="92"/>
      <c r="AB18" s="92"/>
      <c r="AC18" s="92"/>
      <c r="AD18" s="92"/>
      <c r="AE18" s="92"/>
      <c r="AF18" s="98"/>
    </row>
    <row r="19" spans="1:32" s="81" customFormat="1" ht="29.25" customHeight="1">
      <c r="A19" s="85"/>
      <c r="B19" s="144"/>
      <c r="C19" s="136"/>
      <c r="D19" s="136"/>
      <c r="E19" s="137"/>
      <c r="F19" s="138"/>
      <c r="G19" s="144"/>
      <c r="H19" s="144"/>
      <c r="I19" s="144"/>
      <c r="J19" s="144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36"/>
      <c r="Y19" s="136"/>
      <c r="Z19" s="141"/>
      <c r="AA19" s="136"/>
      <c r="AB19" s="136"/>
      <c r="AC19" s="136"/>
      <c r="AD19" s="136"/>
      <c r="AE19" s="136"/>
      <c r="AF19" s="80"/>
    </row>
    <row r="20" spans="1:32" s="81" customFormat="1" ht="29.25" customHeight="1">
      <c r="A20" s="85"/>
      <c r="B20" s="144"/>
      <c r="C20" s="136"/>
      <c r="D20" s="136"/>
      <c r="E20" s="137"/>
      <c r="F20" s="138"/>
      <c r="G20" s="144"/>
      <c r="H20" s="144"/>
      <c r="I20" s="144"/>
      <c r="J20" s="144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36"/>
      <c r="Y20" s="136"/>
      <c r="Z20" s="141"/>
      <c r="AA20" s="136"/>
      <c r="AB20" s="136"/>
      <c r="AC20" s="136"/>
      <c r="AD20" s="136"/>
      <c r="AE20" s="136"/>
      <c r="AF20" s="80"/>
    </row>
    <row r="21" spans="1:32" s="100" customFormat="1" ht="29.25" customHeight="1">
      <c r="A21" s="99" t="s">
        <v>37</v>
      </c>
      <c r="B21" s="145" t="s">
        <v>3</v>
      </c>
      <c r="C21" s="146"/>
      <c r="D21" s="128" t="s">
        <v>38</v>
      </c>
      <c r="E21" s="146"/>
      <c r="F21" s="146"/>
      <c r="G21" s="146"/>
      <c r="H21" s="146"/>
      <c r="I21" s="146" t="s">
        <v>39</v>
      </c>
      <c r="J21" s="146"/>
      <c r="K21" s="146"/>
      <c r="L21" s="146"/>
      <c r="M21" s="146"/>
      <c r="N21" s="146"/>
      <c r="O21" s="147" t="s">
        <v>40</v>
      </c>
      <c r="P21" s="147"/>
      <c r="Q21" s="147"/>
      <c r="R21" s="147"/>
      <c r="S21" s="147"/>
      <c r="T21" s="147"/>
      <c r="U21" s="147"/>
      <c r="V21" s="147"/>
      <c r="W21" s="147"/>
      <c r="X21" s="146"/>
      <c r="Y21" s="146"/>
      <c r="Z21" s="148"/>
      <c r="AA21" s="149"/>
      <c r="AB21" s="149"/>
      <c r="AC21" s="149"/>
      <c r="AD21" s="149"/>
      <c r="AE21" s="149"/>
      <c r="AF21" s="101"/>
    </row>
    <row r="22" spans="1:32" s="100" customFormat="1" ht="29.25" customHeight="1">
      <c r="A22" s="99"/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7"/>
      <c r="Y22" s="146"/>
      <c r="Z22" s="150"/>
      <c r="AA22" s="149"/>
      <c r="AB22" s="149"/>
      <c r="AC22" s="149"/>
      <c r="AD22" s="149"/>
      <c r="AE22" s="149"/>
      <c r="AF22" s="101"/>
    </row>
    <row r="23" spans="1:32" s="103" customFormat="1" ht="29.25" customHeight="1" thickBot="1">
      <c r="A23" s="102"/>
      <c r="B23" s="151"/>
      <c r="C23" s="152"/>
      <c r="D23" s="152"/>
      <c r="E23" s="153"/>
      <c r="F23" s="154"/>
      <c r="G23" s="153"/>
      <c r="H23" s="155"/>
      <c r="I23" s="155"/>
      <c r="J23" s="153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2"/>
      <c r="Y23" s="152"/>
      <c r="Z23" s="156"/>
      <c r="AA23" s="152"/>
      <c r="AB23" s="152"/>
      <c r="AC23" s="152"/>
      <c r="AD23" s="152"/>
      <c r="AE23" s="152"/>
      <c r="AF23" s="104"/>
    </row>
    <row r="24" spans="1:32" s="111" customFormat="1" ht="29.25" customHeight="1">
      <c r="A24" s="105" t="s">
        <v>41</v>
      </c>
      <c r="B24" s="106" t="s">
        <v>42</v>
      </c>
      <c r="C24" s="107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9"/>
      <c r="AA24" s="108"/>
      <c r="AB24" s="108"/>
      <c r="AC24" s="108"/>
      <c r="AD24" s="108"/>
      <c r="AE24" s="108"/>
      <c r="AF24" s="110"/>
    </row>
    <row r="25" spans="1:32" s="111" customFormat="1" ht="29.25" customHeight="1">
      <c r="A25" s="112"/>
      <c r="B25" s="113" t="s">
        <v>43</v>
      </c>
      <c r="C25" s="157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9"/>
      <c r="AA25" s="158"/>
      <c r="AB25" s="158"/>
      <c r="AC25" s="158"/>
      <c r="AD25" s="158"/>
      <c r="AE25" s="158"/>
      <c r="AF25" s="110"/>
    </row>
    <row r="26" spans="1:32" s="111" customFormat="1" ht="29.25" customHeight="1">
      <c r="A26" s="112"/>
      <c r="B26" s="113" t="s">
        <v>44</v>
      </c>
      <c r="C26" s="157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9"/>
      <c r="AA26" s="158"/>
      <c r="AB26" s="158"/>
      <c r="AC26" s="158"/>
      <c r="AD26" s="158"/>
      <c r="AE26" s="158"/>
      <c r="AF26" s="110"/>
    </row>
    <row r="27" spans="1:32" s="111" customFormat="1" ht="29.25" customHeight="1">
      <c r="A27" s="112"/>
      <c r="B27" s="113" t="s">
        <v>45</v>
      </c>
      <c r="C27" s="157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9"/>
      <c r="AA27" s="158"/>
      <c r="AB27" s="158"/>
      <c r="AC27" s="158"/>
      <c r="AD27" s="158"/>
      <c r="AE27" s="158"/>
      <c r="AF27" s="110"/>
    </row>
    <row r="28" spans="1:32" s="111" customFormat="1" ht="29.25" customHeight="1">
      <c r="A28" s="112"/>
      <c r="B28" s="114" t="s">
        <v>46</v>
      </c>
      <c r="C28" s="157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9"/>
      <c r="AA28" s="158"/>
      <c r="AB28" s="158"/>
      <c r="AC28" s="158"/>
      <c r="AD28" s="158"/>
      <c r="AE28" s="158"/>
      <c r="AF28" s="110"/>
    </row>
    <row r="29" spans="1:32" s="111" customFormat="1" ht="29.25" customHeight="1">
      <c r="A29" s="112"/>
      <c r="B29" s="113" t="s">
        <v>47</v>
      </c>
      <c r="C29" s="157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9"/>
      <c r="AA29" s="158"/>
      <c r="AB29" s="158"/>
      <c r="AC29" s="158"/>
      <c r="AD29" s="158"/>
      <c r="AE29" s="158"/>
      <c r="AF29" s="110"/>
    </row>
    <row r="30" spans="1:32" s="111" customFormat="1" ht="29.25" customHeight="1">
      <c r="A30" s="112"/>
      <c r="B30" s="113" t="s">
        <v>48</v>
      </c>
      <c r="C30" s="157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9"/>
      <c r="AA30" s="158"/>
      <c r="AB30" s="158"/>
      <c r="AC30" s="158"/>
      <c r="AD30" s="158"/>
      <c r="AE30" s="158"/>
      <c r="AF30" s="110"/>
    </row>
    <row r="31" spans="1:32" s="111" customFormat="1" ht="29.25" customHeight="1">
      <c r="A31" s="112"/>
      <c r="B31" s="113" t="s">
        <v>49</v>
      </c>
      <c r="C31" s="157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9"/>
      <c r="AA31" s="158"/>
      <c r="AB31" s="158"/>
      <c r="AC31" s="158"/>
      <c r="AD31" s="158"/>
      <c r="AE31" s="158"/>
      <c r="AF31" s="110"/>
    </row>
    <row r="32" spans="1:32" s="111" customFormat="1" ht="29.25" customHeight="1" thickBot="1">
      <c r="A32" s="115"/>
      <c r="B32" s="116" t="s">
        <v>50</v>
      </c>
      <c r="C32" s="117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9"/>
      <c r="AA32" s="118"/>
      <c r="AB32" s="118"/>
      <c r="AC32" s="118"/>
      <c r="AD32" s="118"/>
      <c r="AE32" s="118"/>
      <c r="AF32" s="120"/>
    </row>
  </sheetData>
  <mergeCells count="18">
    <mergeCell ref="B14:C14"/>
    <mergeCell ref="B15:C15"/>
    <mergeCell ref="A24:A32"/>
    <mergeCell ref="G5:G7"/>
    <mergeCell ref="H5:H7"/>
    <mergeCell ref="I5:I7"/>
    <mergeCell ref="J5:J7"/>
    <mergeCell ref="A8:A11"/>
    <mergeCell ref="B8:B11"/>
    <mergeCell ref="C8:C9"/>
    <mergeCell ref="J9:J11"/>
    <mergeCell ref="C10:C11"/>
    <mergeCell ref="A5:A7"/>
    <mergeCell ref="B5:B7"/>
    <mergeCell ref="C5:C7"/>
    <mergeCell ref="D5:D7"/>
    <mergeCell ref="E5:E7"/>
    <mergeCell ref="F5:F7"/>
  </mergeCells>
  <phoneticPr fontId="2" type="noConversion"/>
  <printOptions horizontalCentered="1"/>
  <pageMargins left="0" right="0" top="0.59055118110236227" bottom="3.937007874015748E-2" header="0.15748031496062992" footer="0.19685039370078741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CA21-E90F-495E-82C2-6DA0AFC4A5B8}">
  <sheetPr>
    <tabColor rgb="FF00B0F0"/>
    <pageSetUpPr fitToPage="1"/>
  </sheetPr>
  <dimension ref="A1:AF32"/>
  <sheetViews>
    <sheetView showGridLines="0" tabSelected="1" view="pageBreakPreview" zoomScale="60" zoomScaleNormal="70" workbookViewId="0">
      <selection activeCell="R15" sqref="R15"/>
    </sheetView>
  </sheetViews>
  <sheetFormatPr defaultColWidth="8.69921875" defaultRowHeight="25.7"/>
  <cols>
    <col min="1" max="1" width="21.546875" style="2" customWidth="1"/>
    <col min="2" max="2" width="20.296875" style="2" customWidth="1"/>
    <col min="3" max="3" width="15.34765625" style="3" customWidth="1"/>
    <col min="4" max="4" width="9.546875" style="3" customWidth="1"/>
    <col min="5" max="5" width="11.296875" style="4" customWidth="1"/>
    <col min="6" max="6" width="11.546875" style="5" customWidth="1"/>
    <col min="7" max="7" width="11.546875" style="4" customWidth="1"/>
    <col min="8" max="8" width="10.3984375" style="121" customWidth="1"/>
    <col min="9" max="9" width="14.546875" style="121" customWidth="1"/>
    <col min="10" max="10" width="14.1484375" style="4" customWidth="1"/>
    <col min="11" max="23" width="4.75" style="7" customWidth="1"/>
    <col min="24" max="25" width="4.75" style="3" customWidth="1"/>
    <col min="26" max="26" width="4.75" style="7" customWidth="1"/>
    <col min="27" max="32" width="4.75" style="3" customWidth="1"/>
    <col min="33" max="16384" width="8.69921875" style="2"/>
  </cols>
  <sheetData>
    <row r="1" spans="1:32" ht="30" customHeight="1">
      <c r="A1" s="1" t="s">
        <v>0</v>
      </c>
      <c r="H1" s="6"/>
      <c r="I1" s="6"/>
      <c r="J1" s="6"/>
    </row>
    <row r="2" spans="1:32" s="8" customFormat="1" ht="30" customHeight="1">
      <c r="C2" s="9"/>
      <c r="D2" s="9"/>
      <c r="E2" s="10"/>
      <c r="F2" s="11"/>
      <c r="G2" s="12"/>
      <c r="H2" s="13"/>
      <c r="I2" s="12" t="s">
        <v>1</v>
      </c>
      <c r="J2" s="13" t="s">
        <v>2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9"/>
      <c r="Y2" s="9"/>
      <c r="Z2" s="14"/>
      <c r="AA2" s="9"/>
      <c r="AB2" s="9"/>
      <c r="AC2" s="9"/>
      <c r="AD2" s="9"/>
      <c r="AE2" s="9"/>
      <c r="AF2" s="9"/>
    </row>
    <row r="3" spans="1:32" s="8" customFormat="1" ht="30" customHeight="1">
      <c r="B3" s="8" t="s">
        <v>3</v>
      </c>
      <c r="C3" s="9"/>
      <c r="D3" s="9"/>
      <c r="E3" s="10"/>
      <c r="F3" s="11"/>
      <c r="G3" s="12"/>
      <c r="H3" s="13"/>
      <c r="I3" s="12" t="s">
        <v>4</v>
      </c>
      <c r="J3" s="13" t="s">
        <v>5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9"/>
      <c r="Y3" s="9"/>
      <c r="Z3" s="14"/>
      <c r="AA3" s="9"/>
      <c r="AB3" s="9"/>
      <c r="AC3" s="9"/>
      <c r="AD3" s="9"/>
      <c r="AE3" s="9"/>
      <c r="AF3" s="9"/>
    </row>
    <row r="4" spans="1:32" s="8" customFormat="1" ht="29.25" customHeight="1" thickBot="1">
      <c r="A4" s="15" t="s">
        <v>6</v>
      </c>
      <c r="C4" s="9"/>
      <c r="D4" s="9"/>
      <c r="E4" s="10"/>
      <c r="F4" s="11"/>
      <c r="G4" s="16"/>
      <c r="H4" s="17"/>
      <c r="I4" s="16" t="s">
        <v>7</v>
      </c>
      <c r="J4" s="17" t="s">
        <v>8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9"/>
      <c r="Y4" s="9"/>
      <c r="Z4" s="14"/>
      <c r="AA4" s="9"/>
      <c r="AB4" s="9"/>
      <c r="AC4" s="9"/>
      <c r="AD4" s="9"/>
      <c r="AE4" s="9"/>
      <c r="AF4" s="9"/>
    </row>
    <row r="5" spans="1:32" s="28" customFormat="1" ht="29.25" customHeight="1">
      <c r="A5" s="18" t="s">
        <v>9</v>
      </c>
      <c r="B5" s="19" t="s">
        <v>10</v>
      </c>
      <c r="C5" s="20" t="s">
        <v>11</v>
      </c>
      <c r="D5" s="21" t="s">
        <v>12</v>
      </c>
      <c r="E5" s="22" t="s">
        <v>13</v>
      </c>
      <c r="F5" s="22" t="s">
        <v>14</v>
      </c>
      <c r="G5" s="22" t="s">
        <v>15</v>
      </c>
      <c r="H5" s="21" t="s">
        <v>16</v>
      </c>
      <c r="I5" s="23" t="s">
        <v>17</v>
      </c>
      <c r="J5" s="24" t="s">
        <v>18</v>
      </c>
      <c r="K5" s="25" t="s">
        <v>19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7"/>
    </row>
    <row r="6" spans="1:32" s="28" customFormat="1" ht="29.25" customHeight="1">
      <c r="A6" s="29"/>
      <c r="B6" s="30"/>
      <c r="C6" s="31"/>
      <c r="D6" s="32"/>
      <c r="E6" s="33"/>
      <c r="F6" s="33"/>
      <c r="G6" s="33"/>
      <c r="H6" s="32"/>
      <c r="I6" s="34"/>
      <c r="J6" s="35"/>
      <c r="K6" s="36">
        <v>7</v>
      </c>
      <c r="L6" s="122">
        <f>K6+1</f>
        <v>8</v>
      </c>
      <c r="M6" s="122">
        <f t="shared" ref="M6:AF6" si="0">L6+1</f>
        <v>9</v>
      </c>
      <c r="N6" s="122">
        <f t="shared" si="0"/>
        <v>10</v>
      </c>
      <c r="O6" s="122">
        <f t="shared" si="0"/>
        <v>11</v>
      </c>
      <c r="P6" s="122">
        <f t="shared" si="0"/>
        <v>12</v>
      </c>
      <c r="Q6" s="122">
        <f t="shared" si="0"/>
        <v>13</v>
      </c>
      <c r="R6" s="122">
        <f t="shared" si="0"/>
        <v>14</v>
      </c>
      <c r="S6" s="122">
        <f t="shared" si="0"/>
        <v>15</v>
      </c>
      <c r="T6" s="122">
        <f t="shared" si="0"/>
        <v>16</v>
      </c>
      <c r="U6" s="122">
        <f t="shared" si="0"/>
        <v>17</v>
      </c>
      <c r="V6" s="122">
        <f t="shared" si="0"/>
        <v>18</v>
      </c>
      <c r="W6" s="122">
        <f t="shared" si="0"/>
        <v>19</v>
      </c>
      <c r="X6" s="122">
        <f t="shared" si="0"/>
        <v>20</v>
      </c>
      <c r="Y6" s="122">
        <f t="shared" si="0"/>
        <v>21</v>
      </c>
      <c r="Z6" s="122">
        <f t="shared" si="0"/>
        <v>22</v>
      </c>
      <c r="AA6" s="122">
        <f t="shared" si="0"/>
        <v>23</v>
      </c>
      <c r="AB6" s="122">
        <f t="shared" si="0"/>
        <v>24</v>
      </c>
      <c r="AC6" s="122">
        <f t="shared" si="0"/>
        <v>25</v>
      </c>
      <c r="AD6" s="122">
        <f t="shared" si="0"/>
        <v>26</v>
      </c>
      <c r="AE6" s="122">
        <f t="shared" si="0"/>
        <v>27</v>
      </c>
      <c r="AF6" s="37">
        <f t="shared" si="0"/>
        <v>28</v>
      </c>
    </row>
    <row r="7" spans="1:32" s="28" customFormat="1" ht="29.25" customHeight="1">
      <c r="A7" s="29"/>
      <c r="B7" s="38"/>
      <c r="C7" s="31"/>
      <c r="D7" s="32"/>
      <c r="E7" s="33"/>
      <c r="F7" s="33"/>
      <c r="G7" s="33"/>
      <c r="H7" s="32"/>
      <c r="I7" s="34"/>
      <c r="J7" s="35"/>
      <c r="K7" s="123" t="s">
        <v>20</v>
      </c>
      <c r="L7" s="123" t="s">
        <v>21</v>
      </c>
      <c r="M7" s="123" t="s">
        <v>22</v>
      </c>
      <c r="N7" s="123" t="s">
        <v>21</v>
      </c>
      <c r="O7" s="124" t="s">
        <v>23</v>
      </c>
      <c r="P7" s="125" t="s">
        <v>24</v>
      </c>
      <c r="Q7" s="125" t="s">
        <v>24</v>
      </c>
      <c r="R7" s="123" t="s">
        <v>20</v>
      </c>
      <c r="S7" s="123" t="s">
        <v>21</v>
      </c>
      <c r="T7" s="123" t="s">
        <v>22</v>
      </c>
      <c r="U7" s="123" t="s">
        <v>21</v>
      </c>
      <c r="V7" s="124" t="s">
        <v>23</v>
      </c>
      <c r="W7" s="125" t="s">
        <v>24</v>
      </c>
      <c r="X7" s="125" t="s">
        <v>24</v>
      </c>
      <c r="Y7" s="123" t="s">
        <v>20</v>
      </c>
      <c r="Z7" s="123" t="s">
        <v>21</v>
      </c>
      <c r="AA7" s="123" t="s">
        <v>22</v>
      </c>
      <c r="AB7" s="123" t="s">
        <v>21</v>
      </c>
      <c r="AC7" s="124" t="s">
        <v>23</v>
      </c>
      <c r="AD7" s="125" t="s">
        <v>24</v>
      </c>
      <c r="AE7" s="125" t="s">
        <v>24</v>
      </c>
      <c r="AF7" s="39" t="s">
        <v>20</v>
      </c>
    </row>
    <row r="8" spans="1:32" s="28" customFormat="1" ht="47.45" customHeight="1">
      <c r="A8" s="40" t="s">
        <v>25</v>
      </c>
      <c r="B8" s="41" t="s">
        <v>26</v>
      </c>
      <c r="C8" s="42" t="s">
        <v>27</v>
      </c>
      <c r="D8" s="43" t="s">
        <v>51</v>
      </c>
      <c r="E8" s="44">
        <v>1500</v>
      </c>
      <c r="F8" s="44">
        <f t="shared" ref="F8:F11" si="1">E8*0.8</f>
        <v>1200</v>
      </c>
      <c r="G8" s="44">
        <f t="shared" ref="G8:G11" si="2">E8*0.75</f>
        <v>1125</v>
      </c>
      <c r="H8" s="45">
        <f>SUM(K8:AF8)</f>
        <v>1440</v>
      </c>
      <c r="I8" s="46">
        <f>G8*H8</f>
        <v>1620000</v>
      </c>
      <c r="J8" s="47">
        <v>250000</v>
      </c>
      <c r="K8" s="48">
        <v>66</v>
      </c>
      <c r="L8" s="49">
        <f>K8</f>
        <v>66</v>
      </c>
      <c r="M8" s="49">
        <f t="shared" ref="M8:AB11" si="3">L8</f>
        <v>66</v>
      </c>
      <c r="N8" s="49">
        <f t="shared" si="3"/>
        <v>66</v>
      </c>
      <c r="O8" s="49">
        <f t="shared" si="3"/>
        <v>66</v>
      </c>
      <c r="P8" s="49">
        <f t="shared" si="3"/>
        <v>66</v>
      </c>
      <c r="Q8" s="49">
        <f t="shared" si="3"/>
        <v>66</v>
      </c>
      <c r="R8" s="49">
        <f t="shared" si="3"/>
        <v>66</v>
      </c>
      <c r="S8" s="49">
        <f t="shared" si="3"/>
        <v>66</v>
      </c>
      <c r="T8" s="49">
        <f t="shared" si="3"/>
        <v>66</v>
      </c>
      <c r="U8" s="49">
        <f t="shared" si="3"/>
        <v>66</v>
      </c>
      <c r="V8" s="49">
        <f t="shared" si="3"/>
        <v>66</v>
      </c>
      <c r="W8" s="49">
        <f t="shared" si="3"/>
        <v>66</v>
      </c>
      <c r="X8" s="49">
        <f t="shared" si="3"/>
        <v>66</v>
      </c>
      <c r="Y8" s="49">
        <f>X8</f>
        <v>66</v>
      </c>
      <c r="Z8" s="49">
        <f t="shared" si="3"/>
        <v>66</v>
      </c>
      <c r="AA8" s="49">
        <v>64</v>
      </c>
      <c r="AB8" s="49">
        <f t="shared" si="3"/>
        <v>64</v>
      </c>
      <c r="AC8" s="49">
        <f t="shared" ref="AC8:AE11" si="4">AB8</f>
        <v>64</v>
      </c>
      <c r="AD8" s="49">
        <f t="shared" si="4"/>
        <v>64</v>
      </c>
      <c r="AE8" s="49">
        <f t="shared" si="4"/>
        <v>64</v>
      </c>
      <c r="AF8" s="50">
        <f>AE8</f>
        <v>64</v>
      </c>
    </row>
    <row r="9" spans="1:32" s="28" customFormat="1" ht="47.45" customHeight="1">
      <c r="A9" s="51"/>
      <c r="B9" s="52"/>
      <c r="C9" s="53"/>
      <c r="D9" s="54" t="s">
        <v>51</v>
      </c>
      <c r="E9" s="55">
        <v>1500</v>
      </c>
      <c r="F9" s="55">
        <f t="shared" si="1"/>
        <v>1200</v>
      </c>
      <c r="G9" s="55">
        <f t="shared" si="2"/>
        <v>1125</v>
      </c>
      <c r="H9" s="56">
        <f>SUM(K9:AF9)</f>
        <v>216</v>
      </c>
      <c r="I9" s="57">
        <f>G9*H9</f>
        <v>243000</v>
      </c>
      <c r="J9" s="58" t="s">
        <v>29</v>
      </c>
      <c r="K9" s="59">
        <v>10</v>
      </c>
      <c r="L9" s="60">
        <f>K9</f>
        <v>10</v>
      </c>
      <c r="M9" s="60">
        <f t="shared" si="3"/>
        <v>10</v>
      </c>
      <c r="N9" s="60">
        <f t="shared" si="3"/>
        <v>10</v>
      </c>
      <c r="O9" s="60">
        <f t="shared" si="3"/>
        <v>10</v>
      </c>
      <c r="P9" s="60">
        <f t="shared" si="3"/>
        <v>10</v>
      </c>
      <c r="Q9" s="60">
        <f t="shared" si="3"/>
        <v>10</v>
      </c>
      <c r="R9" s="60">
        <f t="shared" si="3"/>
        <v>10</v>
      </c>
      <c r="S9" s="60">
        <f t="shared" si="3"/>
        <v>10</v>
      </c>
      <c r="T9" s="60">
        <f t="shared" si="3"/>
        <v>10</v>
      </c>
      <c r="U9" s="60">
        <f t="shared" si="3"/>
        <v>10</v>
      </c>
      <c r="V9" s="60">
        <f t="shared" si="3"/>
        <v>10</v>
      </c>
      <c r="W9" s="60">
        <f>V9</f>
        <v>10</v>
      </c>
      <c r="X9" s="60">
        <f t="shared" si="3"/>
        <v>10</v>
      </c>
      <c r="Y9" s="60">
        <f>X9</f>
        <v>10</v>
      </c>
      <c r="Z9" s="60">
        <f t="shared" si="3"/>
        <v>10</v>
      </c>
      <c r="AA9" s="60">
        <f t="shared" si="3"/>
        <v>10</v>
      </c>
      <c r="AB9" s="60">
        <f t="shared" si="3"/>
        <v>10</v>
      </c>
      <c r="AC9" s="60">
        <v>9</v>
      </c>
      <c r="AD9" s="60">
        <f t="shared" si="4"/>
        <v>9</v>
      </c>
      <c r="AE9" s="60">
        <f t="shared" si="4"/>
        <v>9</v>
      </c>
      <c r="AF9" s="61">
        <f>AE9</f>
        <v>9</v>
      </c>
    </row>
    <row r="10" spans="1:32" s="28" customFormat="1" ht="47.45" customHeight="1">
      <c r="A10" s="51"/>
      <c r="B10" s="52"/>
      <c r="C10" s="53" t="str">
        <f>C8</f>
        <v>0700-2300</v>
      </c>
      <c r="D10" s="54" t="s">
        <v>51</v>
      </c>
      <c r="E10" s="55">
        <v>1500</v>
      </c>
      <c r="F10" s="55">
        <f t="shared" si="1"/>
        <v>1200</v>
      </c>
      <c r="G10" s="55">
        <f t="shared" si="2"/>
        <v>1125</v>
      </c>
      <c r="H10" s="56">
        <f>SUM(K10:AF10)</f>
        <v>576</v>
      </c>
      <c r="I10" s="57">
        <f>G10*H10</f>
        <v>648000</v>
      </c>
      <c r="J10" s="58"/>
      <c r="K10" s="59">
        <v>27</v>
      </c>
      <c r="L10" s="60">
        <f>K10</f>
        <v>27</v>
      </c>
      <c r="M10" s="60">
        <f t="shared" si="3"/>
        <v>27</v>
      </c>
      <c r="N10" s="60">
        <f t="shared" si="3"/>
        <v>27</v>
      </c>
      <c r="O10" s="60">
        <v>26</v>
      </c>
      <c r="P10" s="60">
        <f t="shared" si="3"/>
        <v>26</v>
      </c>
      <c r="Q10" s="60">
        <f t="shared" si="3"/>
        <v>26</v>
      </c>
      <c r="R10" s="60">
        <f t="shared" si="3"/>
        <v>26</v>
      </c>
      <c r="S10" s="60">
        <f t="shared" si="3"/>
        <v>26</v>
      </c>
      <c r="T10" s="60">
        <f t="shared" si="3"/>
        <v>26</v>
      </c>
      <c r="U10" s="60">
        <f>T10</f>
        <v>26</v>
      </c>
      <c r="V10" s="60">
        <f t="shared" si="3"/>
        <v>26</v>
      </c>
      <c r="W10" s="60">
        <f t="shared" si="3"/>
        <v>26</v>
      </c>
      <c r="X10" s="60">
        <f t="shared" si="3"/>
        <v>26</v>
      </c>
      <c r="Y10" s="60">
        <f t="shared" si="3"/>
        <v>26</v>
      </c>
      <c r="Z10" s="60">
        <f t="shared" si="3"/>
        <v>26</v>
      </c>
      <c r="AA10" s="60">
        <f t="shared" si="3"/>
        <v>26</v>
      </c>
      <c r="AB10" s="60">
        <f t="shared" si="3"/>
        <v>26</v>
      </c>
      <c r="AC10" s="60">
        <f t="shared" si="4"/>
        <v>26</v>
      </c>
      <c r="AD10" s="60">
        <f t="shared" si="4"/>
        <v>26</v>
      </c>
      <c r="AE10" s="60">
        <f>AD10</f>
        <v>26</v>
      </c>
      <c r="AF10" s="61">
        <f t="shared" ref="AF10:AF11" si="5">AE10</f>
        <v>26</v>
      </c>
    </row>
    <row r="11" spans="1:32" s="28" customFormat="1" ht="47.45" customHeight="1" thickBot="1">
      <c r="A11" s="62"/>
      <c r="B11" s="63"/>
      <c r="C11" s="126"/>
      <c r="D11" s="64" t="s">
        <v>51</v>
      </c>
      <c r="E11" s="65">
        <v>1500</v>
      </c>
      <c r="F11" s="65">
        <f t="shared" si="1"/>
        <v>1200</v>
      </c>
      <c r="G11" s="65">
        <f t="shared" si="2"/>
        <v>1125</v>
      </c>
      <c r="H11" s="66">
        <f>SUM(K11:AF11)</f>
        <v>86</v>
      </c>
      <c r="I11" s="67">
        <f>G11*H11</f>
        <v>96750</v>
      </c>
      <c r="J11" s="127"/>
      <c r="K11" s="68">
        <v>4</v>
      </c>
      <c r="L11" s="69">
        <f>K11</f>
        <v>4</v>
      </c>
      <c r="M11" s="69">
        <f t="shared" si="3"/>
        <v>4</v>
      </c>
      <c r="N11" s="69">
        <f t="shared" si="3"/>
        <v>4</v>
      </c>
      <c r="O11" s="69">
        <f t="shared" si="3"/>
        <v>4</v>
      </c>
      <c r="P11" s="69">
        <f t="shared" si="3"/>
        <v>4</v>
      </c>
      <c r="Q11" s="69">
        <f t="shared" si="3"/>
        <v>4</v>
      </c>
      <c r="R11" s="69">
        <f t="shared" si="3"/>
        <v>4</v>
      </c>
      <c r="S11" s="69">
        <f t="shared" si="3"/>
        <v>4</v>
      </c>
      <c r="T11" s="69">
        <f t="shared" si="3"/>
        <v>4</v>
      </c>
      <c r="U11" s="69">
        <f>T11</f>
        <v>4</v>
      </c>
      <c r="V11" s="69">
        <f t="shared" si="3"/>
        <v>4</v>
      </c>
      <c r="W11" s="69">
        <f t="shared" si="3"/>
        <v>4</v>
      </c>
      <c r="X11" s="69">
        <f t="shared" si="3"/>
        <v>4</v>
      </c>
      <c r="Y11" s="69">
        <f>X11</f>
        <v>4</v>
      </c>
      <c r="Z11" s="69">
        <f t="shared" si="3"/>
        <v>4</v>
      </c>
      <c r="AA11" s="69">
        <f t="shared" si="3"/>
        <v>4</v>
      </c>
      <c r="AB11" s="69">
        <f t="shared" si="3"/>
        <v>4</v>
      </c>
      <c r="AC11" s="69">
        <f>AB11</f>
        <v>4</v>
      </c>
      <c r="AD11" s="69">
        <f t="shared" si="4"/>
        <v>4</v>
      </c>
      <c r="AE11" s="69">
        <v>3</v>
      </c>
      <c r="AF11" s="70">
        <v>3</v>
      </c>
    </row>
    <row r="12" spans="1:32" s="73" customFormat="1" ht="29.25" customHeight="1">
      <c r="A12" s="71"/>
      <c r="B12" s="128"/>
      <c r="C12" s="129"/>
      <c r="D12" s="129"/>
      <c r="E12" s="130"/>
      <c r="F12" s="131"/>
      <c r="G12" s="130"/>
      <c r="H12" s="130"/>
      <c r="I12" s="130"/>
      <c r="J12" s="130"/>
      <c r="K12" s="132"/>
      <c r="L12" s="132"/>
      <c r="M12" s="132"/>
      <c r="N12" s="132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72"/>
    </row>
    <row r="13" spans="1:32" s="73" customFormat="1" ht="29.25" customHeight="1" thickBot="1">
      <c r="A13" s="71"/>
      <c r="B13" s="128"/>
      <c r="C13" s="129"/>
      <c r="D13" s="129"/>
      <c r="E13" s="130"/>
      <c r="F13" s="131"/>
      <c r="G13" s="130"/>
      <c r="H13" s="130"/>
      <c r="I13" s="134"/>
      <c r="J13" s="74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5"/>
      <c r="Y13" s="135"/>
      <c r="Z13" s="132"/>
      <c r="AA13" s="135"/>
      <c r="AB13" s="135"/>
      <c r="AC13" s="135"/>
      <c r="AD13" s="135"/>
      <c r="AE13" s="135"/>
      <c r="AF13" s="75"/>
    </row>
    <row r="14" spans="1:32" s="81" customFormat="1" ht="29.25" customHeight="1">
      <c r="A14" s="76" t="s">
        <v>30</v>
      </c>
      <c r="B14" s="77">
        <f>SUM(I8:I11)</f>
        <v>2607750</v>
      </c>
      <c r="C14" s="78"/>
      <c r="D14" s="136"/>
      <c r="E14" s="137"/>
      <c r="F14" s="138"/>
      <c r="G14" s="137"/>
      <c r="H14" s="139"/>
      <c r="I14" s="140" t="s">
        <v>31</v>
      </c>
      <c r="J14" s="79">
        <f>SUM(J8:J11)</f>
        <v>250000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36"/>
      <c r="Y14" s="136"/>
      <c r="Z14" s="141"/>
      <c r="AA14" s="136"/>
      <c r="AB14" s="136"/>
      <c r="AC14" s="136"/>
      <c r="AD14" s="136"/>
      <c r="AE14" s="136"/>
      <c r="AF14" s="80"/>
    </row>
    <row r="15" spans="1:32" s="81" customFormat="1" ht="29.25" customHeight="1" thickBot="1">
      <c r="A15" s="82" t="s">
        <v>32</v>
      </c>
      <c r="B15" s="83">
        <f>B14-J8</f>
        <v>2357750</v>
      </c>
      <c r="C15" s="84"/>
      <c r="D15" s="136"/>
      <c r="E15" s="137"/>
      <c r="F15" s="138"/>
      <c r="G15" s="137"/>
      <c r="H15" s="139"/>
      <c r="I15" s="142" t="s">
        <v>33</v>
      </c>
      <c r="J15" s="143" t="s">
        <v>34</v>
      </c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36"/>
      <c r="Y15" s="136"/>
      <c r="Z15" s="141"/>
      <c r="AA15" s="136"/>
      <c r="AB15" s="136"/>
      <c r="AC15" s="136"/>
      <c r="AD15" s="136"/>
      <c r="AE15" s="136"/>
      <c r="AF15" s="80"/>
    </row>
    <row r="16" spans="1:32" s="81" customFormat="1" ht="29.25" customHeight="1">
      <c r="A16" s="85" t="s">
        <v>3</v>
      </c>
      <c r="B16" s="144"/>
      <c r="C16" s="136"/>
      <c r="D16" s="136"/>
      <c r="E16" s="137"/>
      <c r="F16" s="138"/>
      <c r="G16" s="137"/>
      <c r="H16" s="139"/>
      <c r="I16" s="86" t="s">
        <v>35</v>
      </c>
      <c r="J16" s="87">
        <f>SUM(J14:J15)*5%</f>
        <v>12500</v>
      </c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36"/>
      <c r="Y16" s="136"/>
      <c r="Z16" s="141"/>
      <c r="AA16" s="136"/>
      <c r="AB16" s="136"/>
      <c r="AC16" s="136"/>
      <c r="AD16" s="136"/>
      <c r="AE16" s="136"/>
      <c r="AF16" s="80"/>
    </row>
    <row r="17" spans="1:32" s="81" customFormat="1" ht="29.25" customHeight="1" thickBot="1">
      <c r="A17" s="85"/>
      <c r="B17" s="144"/>
      <c r="C17" s="136"/>
      <c r="D17" s="136"/>
      <c r="E17" s="137"/>
      <c r="F17" s="138"/>
      <c r="G17" s="137"/>
      <c r="H17" s="139"/>
      <c r="I17" s="88" t="s">
        <v>36</v>
      </c>
      <c r="J17" s="89">
        <f>SUM(J14:J16)</f>
        <v>262500</v>
      </c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36"/>
      <c r="Y17" s="136"/>
      <c r="Z17" s="141"/>
      <c r="AA17" s="136"/>
      <c r="AB17" s="136"/>
      <c r="AC17" s="136"/>
      <c r="AD17" s="136"/>
      <c r="AE17" s="136"/>
      <c r="AF17" s="80"/>
    </row>
    <row r="18" spans="1:32" s="81" customFormat="1" ht="29.25" customHeight="1" thickTop="1" thickBot="1">
      <c r="A18" s="90"/>
      <c r="B18" s="91"/>
      <c r="C18" s="92"/>
      <c r="D18" s="92"/>
      <c r="E18" s="93"/>
      <c r="F18" s="94"/>
      <c r="G18" s="91"/>
      <c r="H18" s="91"/>
      <c r="I18" s="95"/>
      <c r="J18" s="96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2"/>
      <c r="Y18" s="92"/>
      <c r="Z18" s="97"/>
      <c r="AA18" s="92"/>
      <c r="AB18" s="92"/>
      <c r="AC18" s="92"/>
      <c r="AD18" s="92"/>
      <c r="AE18" s="92"/>
      <c r="AF18" s="98"/>
    </row>
    <row r="19" spans="1:32" s="81" customFormat="1" ht="29.25" customHeight="1">
      <c r="A19" s="85"/>
      <c r="B19" s="144"/>
      <c r="C19" s="136"/>
      <c r="D19" s="136"/>
      <c r="E19" s="137"/>
      <c r="F19" s="138"/>
      <c r="G19" s="144"/>
      <c r="H19" s="144"/>
      <c r="I19" s="144"/>
      <c r="J19" s="144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36"/>
      <c r="Y19" s="136"/>
      <c r="Z19" s="141"/>
      <c r="AA19" s="136"/>
      <c r="AB19" s="136"/>
      <c r="AC19" s="136"/>
      <c r="AD19" s="136"/>
      <c r="AE19" s="136"/>
      <c r="AF19" s="80"/>
    </row>
    <row r="20" spans="1:32" s="81" customFormat="1" ht="29.25" customHeight="1">
      <c r="A20" s="85"/>
      <c r="B20" s="144"/>
      <c r="C20" s="136"/>
      <c r="D20" s="136"/>
      <c r="E20" s="137"/>
      <c r="F20" s="138"/>
      <c r="G20" s="144"/>
      <c r="H20" s="144"/>
      <c r="I20" s="144"/>
      <c r="J20" s="144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36"/>
      <c r="Y20" s="136"/>
      <c r="Z20" s="141"/>
      <c r="AA20" s="136"/>
      <c r="AB20" s="136"/>
      <c r="AC20" s="136"/>
      <c r="AD20" s="136"/>
      <c r="AE20" s="136"/>
      <c r="AF20" s="80"/>
    </row>
    <row r="21" spans="1:32" s="100" customFormat="1" ht="29.25" customHeight="1">
      <c r="A21" s="99" t="s">
        <v>37</v>
      </c>
      <c r="B21" s="145" t="s">
        <v>3</v>
      </c>
      <c r="C21" s="146"/>
      <c r="D21" s="128" t="s">
        <v>38</v>
      </c>
      <c r="E21" s="146"/>
      <c r="F21" s="146"/>
      <c r="G21" s="146"/>
      <c r="H21" s="146"/>
      <c r="I21" s="146" t="s">
        <v>39</v>
      </c>
      <c r="J21" s="146"/>
      <c r="K21" s="146"/>
      <c r="L21" s="146"/>
      <c r="M21" s="146"/>
      <c r="N21" s="146"/>
      <c r="O21" s="147" t="s">
        <v>40</v>
      </c>
      <c r="P21" s="147"/>
      <c r="Q21" s="147"/>
      <c r="R21" s="147"/>
      <c r="S21" s="147"/>
      <c r="T21" s="147"/>
      <c r="U21" s="147"/>
      <c r="V21" s="147"/>
      <c r="W21" s="147"/>
      <c r="X21" s="146"/>
      <c r="Y21" s="146"/>
      <c r="Z21" s="148"/>
      <c r="AA21" s="149"/>
      <c r="AB21" s="149"/>
      <c r="AC21" s="149"/>
      <c r="AD21" s="149"/>
      <c r="AE21" s="149"/>
      <c r="AF21" s="101"/>
    </row>
    <row r="22" spans="1:32" s="100" customFormat="1" ht="29.25" customHeight="1">
      <c r="A22" s="99"/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7"/>
      <c r="Y22" s="146"/>
      <c r="Z22" s="150"/>
      <c r="AA22" s="149"/>
      <c r="AB22" s="149"/>
      <c r="AC22" s="149"/>
      <c r="AD22" s="149"/>
      <c r="AE22" s="149"/>
      <c r="AF22" s="101"/>
    </row>
    <row r="23" spans="1:32" s="103" customFormat="1" ht="29.25" customHeight="1" thickBot="1">
      <c r="A23" s="102"/>
      <c r="B23" s="151"/>
      <c r="C23" s="152"/>
      <c r="D23" s="152"/>
      <c r="E23" s="153"/>
      <c r="F23" s="154"/>
      <c r="G23" s="153"/>
      <c r="H23" s="155"/>
      <c r="I23" s="155"/>
      <c r="J23" s="153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2"/>
      <c r="Y23" s="152"/>
      <c r="Z23" s="156"/>
      <c r="AA23" s="152"/>
      <c r="AB23" s="152"/>
      <c r="AC23" s="152"/>
      <c r="AD23" s="152"/>
      <c r="AE23" s="152"/>
      <c r="AF23" s="104"/>
    </row>
    <row r="24" spans="1:32" s="111" customFormat="1" ht="29.25" customHeight="1">
      <c r="A24" s="105" t="s">
        <v>41</v>
      </c>
      <c r="B24" s="106" t="s">
        <v>42</v>
      </c>
      <c r="C24" s="107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9"/>
      <c r="AA24" s="108"/>
      <c r="AB24" s="108"/>
      <c r="AC24" s="108"/>
      <c r="AD24" s="108"/>
      <c r="AE24" s="108"/>
      <c r="AF24" s="110"/>
    </row>
    <row r="25" spans="1:32" s="111" customFormat="1" ht="29.25" customHeight="1">
      <c r="A25" s="112"/>
      <c r="B25" s="113" t="s">
        <v>43</v>
      </c>
      <c r="C25" s="157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9"/>
      <c r="AA25" s="158"/>
      <c r="AB25" s="158"/>
      <c r="AC25" s="158"/>
      <c r="AD25" s="158"/>
      <c r="AE25" s="158"/>
      <c r="AF25" s="110"/>
    </row>
    <row r="26" spans="1:32" s="111" customFormat="1" ht="29.25" customHeight="1">
      <c r="A26" s="112"/>
      <c r="B26" s="113" t="s">
        <v>44</v>
      </c>
      <c r="C26" s="157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9"/>
      <c r="AA26" s="158"/>
      <c r="AB26" s="158"/>
      <c r="AC26" s="158"/>
      <c r="AD26" s="158"/>
      <c r="AE26" s="158"/>
      <c r="AF26" s="110"/>
    </row>
    <row r="27" spans="1:32" s="111" customFormat="1" ht="29.25" customHeight="1">
      <c r="A27" s="112"/>
      <c r="B27" s="113" t="s">
        <v>45</v>
      </c>
      <c r="C27" s="157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9"/>
      <c r="AA27" s="158"/>
      <c r="AB27" s="158"/>
      <c r="AC27" s="158"/>
      <c r="AD27" s="158"/>
      <c r="AE27" s="158"/>
      <c r="AF27" s="110"/>
    </row>
    <row r="28" spans="1:32" s="111" customFormat="1" ht="29.25" customHeight="1">
      <c r="A28" s="112"/>
      <c r="B28" s="114" t="s">
        <v>46</v>
      </c>
      <c r="C28" s="157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9"/>
      <c r="AA28" s="158"/>
      <c r="AB28" s="158"/>
      <c r="AC28" s="158"/>
      <c r="AD28" s="158"/>
      <c r="AE28" s="158"/>
      <c r="AF28" s="110"/>
    </row>
    <row r="29" spans="1:32" s="111" customFormat="1" ht="29.25" customHeight="1">
      <c r="A29" s="112"/>
      <c r="B29" s="113" t="s">
        <v>47</v>
      </c>
      <c r="C29" s="157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9"/>
      <c r="AA29" s="158"/>
      <c r="AB29" s="158"/>
      <c r="AC29" s="158"/>
      <c r="AD29" s="158"/>
      <c r="AE29" s="158"/>
      <c r="AF29" s="110"/>
    </row>
    <row r="30" spans="1:32" s="111" customFormat="1" ht="29.25" customHeight="1">
      <c r="A30" s="112"/>
      <c r="B30" s="113" t="s">
        <v>48</v>
      </c>
      <c r="C30" s="157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9"/>
      <c r="AA30" s="158"/>
      <c r="AB30" s="158"/>
      <c r="AC30" s="158"/>
      <c r="AD30" s="158"/>
      <c r="AE30" s="158"/>
      <c r="AF30" s="110"/>
    </row>
    <row r="31" spans="1:32" s="111" customFormat="1" ht="29.25" customHeight="1">
      <c r="A31" s="112"/>
      <c r="B31" s="113" t="s">
        <v>49</v>
      </c>
      <c r="C31" s="157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9"/>
      <c r="AA31" s="158"/>
      <c r="AB31" s="158"/>
      <c r="AC31" s="158"/>
      <c r="AD31" s="158"/>
      <c r="AE31" s="158"/>
      <c r="AF31" s="110"/>
    </row>
    <row r="32" spans="1:32" s="111" customFormat="1" ht="29.25" customHeight="1" thickBot="1">
      <c r="A32" s="115"/>
      <c r="B32" s="116" t="s">
        <v>50</v>
      </c>
      <c r="C32" s="117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9"/>
      <c r="AA32" s="118"/>
      <c r="AB32" s="118"/>
      <c r="AC32" s="118"/>
      <c r="AD32" s="118"/>
      <c r="AE32" s="118"/>
      <c r="AF32" s="120"/>
    </row>
  </sheetData>
  <mergeCells count="18">
    <mergeCell ref="B14:C14"/>
    <mergeCell ref="B15:C15"/>
    <mergeCell ref="A24:A32"/>
    <mergeCell ref="G5:G7"/>
    <mergeCell ref="H5:H7"/>
    <mergeCell ref="I5:I7"/>
    <mergeCell ref="J5:J7"/>
    <mergeCell ref="A8:A11"/>
    <mergeCell ref="B8:B11"/>
    <mergeCell ref="C8:C9"/>
    <mergeCell ref="J9:J11"/>
    <mergeCell ref="C10:C11"/>
    <mergeCell ref="A5:A7"/>
    <mergeCell ref="B5:B7"/>
    <mergeCell ref="C5:C7"/>
    <mergeCell ref="D5:D7"/>
    <mergeCell ref="E5:E7"/>
    <mergeCell ref="F5:F7"/>
  </mergeCells>
  <phoneticPr fontId="2" type="noConversion"/>
  <printOptions horizontalCentered="1"/>
  <pageMargins left="0" right="0" top="0.59055118110236227" bottom="3.937007874015748E-2" header="0.15748031496062992" footer="0.19685039370078741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全家-30秒</vt:lpstr>
      <vt:lpstr>全家-20秒</vt:lpstr>
      <vt:lpstr>全家-15秒</vt:lpstr>
      <vt:lpstr>全家-10秒</vt:lpstr>
      <vt:lpstr>'全家-10秒'!Print_Area</vt:lpstr>
      <vt:lpstr>'全家-15秒'!Print_Area</vt:lpstr>
      <vt:lpstr>'全家-20秒'!Print_Area</vt:lpstr>
      <vt:lpstr>'全家-30秒'!Print_Area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dcterms:created xsi:type="dcterms:W3CDTF">2026-09-02T06:20:01Z</dcterms:created>
  <dcterms:modified xsi:type="dcterms:W3CDTF">2026-09-02T06:37:32Z</dcterms:modified>
</cp:coreProperties>
</file>