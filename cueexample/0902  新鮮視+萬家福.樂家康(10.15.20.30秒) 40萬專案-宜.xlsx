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1F4FEB2E-1A26-46E1-A791-035A8BF13586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40萬版-30秒版" sheetId="6" r:id="rId1"/>
    <sheet name="40萬版-20秒版" sheetId="1" r:id="rId2"/>
    <sheet name="40萬版-15秒版" sheetId="5" r:id="rId3"/>
    <sheet name="40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'40萬版-10秒版 '!$A$8:$V$29</definedName>
    <definedName name="_xlnm._FilterDatabase" localSheetId="2" hidden="1">'40萬版-15秒版'!$A$8:$V$29</definedName>
    <definedName name="_xlnm._FilterDatabase" localSheetId="1" hidden="1">'40萬版-20秒版'!$A$8:$V$29</definedName>
    <definedName name="_xlnm._FilterDatabase" localSheetId="0" hidden="1">'40萬版-30秒版'!$A$8:$V$29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'40萬版-10秒版 '!$A$1:$V$31</definedName>
    <definedName name="_xlnm.Print_Area" localSheetId="2">'40萬版-15秒版'!$A$1:$V$31</definedName>
    <definedName name="_xlnm.Print_Area" localSheetId="1">'40萬版-20秒版'!$A$1:$V$31</definedName>
    <definedName name="_xlnm.Print_Area" localSheetId="0">'40萬版-30秒版'!$A$1:$V$31</definedName>
    <definedName name="_xlnm.Print_Titles" localSheetId="3">'40萬版-10秒版 '!$6:$8</definedName>
    <definedName name="_xlnm.Print_Titles" localSheetId="2">'40萬版-15秒版'!$6:$8</definedName>
    <definedName name="_xlnm.Print_Titles" localSheetId="1">'40萬版-20秒版'!$6:$8</definedName>
    <definedName name="_xlnm.Print_Titles" localSheetId="0">'40萬版-30秒版'!$6:$8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6" l="1"/>
  <c r="G17" i="6"/>
  <c r="H16" i="6"/>
  <c r="H14" i="6"/>
  <c r="H13" i="6"/>
  <c r="H12" i="6"/>
  <c r="I11" i="6"/>
  <c r="J11" i="6" s="1"/>
  <c r="E11" i="6"/>
  <c r="I10" i="6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H16" i="5"/>
  <c r="H14" i="5"/>
  <c r="H13" i="5"/>
  <c r="H12" i="5"/>
  <c r="H15" i="5" s="1"/>
  <c r="I11" i="5"/>
  <c r="J11" i="5" s="1"/>
  <c r="E11" i="5"/>
  <c r="I10" i="5"/>
  <c r="J10" i="5" s="1"/>
  <c r="I9" i="5"/>
  <c r="E9" i="5"/>
  <c r="I7" i="5"/>
  <c r="J7" i="5" s="1"/>
  <c r="K7" i="5" s="1"/>
  <c r="L7" i="5" s="1"/>
  <c r="M7" i="5" s="1"/>
  <c r="N7" i="5" s="1"/>
  <c r="O7" i="5" s="1"/>
  <c r="P7" i="5" s="1"/>
  <c r="E11" i="4"/>
  <c r="E9" i="4"/>
  <c r="L29" i="4"/>
  <c r="G17" i="4"/>
  <c r="G19" i="4" s="1"/>
  <c r="G20" i="4" s="1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I10" i="1"/>
  <c r="H14" i="1"/>
  <c r="J10" i="6" l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I16" i="5"/>
  <c r="J10" i="1"/>
  <c r="K10" i="1" s="1"/>
  <c r="L10" i="1" s="1"/>
  <c r="M10" i="1" s="1"/>
  <c r="N10" i="1" s="1"/>
  <c r="O10" i="1" s="1"/>
  <c r="P10" i="1" s="1"/>
  <c r="I12" i="6"/>
  <c r="I15" i="6" s="1"/>
  <c r="I13" i="6"/>
  <c r="K9" i="6"/>
  <c r="J16" i="6"/>
  <c r="J13" i="6"/>
  <c r="J12" i="6"/>
  <c r="J15" i="6" s="1"/>
  <c r="J14" i="6"/>
  <c r="K11" i="6"/>
  <c r="I14" i="6"/>
  <c r="H15" i="6"/>
  <c r="H17" i="6" s="1"/>
  <c r="I16" i="6"/>
  <c r="G19" i="6"/>
  <c r="G20" i="6" s="1"/>
  <c r="I13" i="5"/>
  <c r="I14" i="5"/>
  <c r="K10" i="5"/>
  <c r="M10" i="5" s="1"/>
  <c r="J12" i="5"/>
  <c r="J15" i="5" s="1"/>
  <c r="J14" i="5"/>
  <c r="K11" i="5"/>
  <c r="L11" i="5" s="1"/>
  <c r="M11" i="5" s="1"/>
  <c r="J16" i="5"/>
  <c r="J13" i="5"/>
  <c r="G19" i="5"/>
  <c r="G20" i="5" s="1"/>
  <c r="J9" i="5"/>
  <c r="H17" i="5"/>
  <c r="I12" i="5"/>
  <c r="H17" i="4"/>
  <c r="J9" i="4"/>
  <c r="J11" i="4"/>
  <c r="I12" i="4"/>
  <c r="J10" i="4"/>
  <c r="K10" i="4" s="1"/>
  <c r="L10" i="4" s="1"/>
  <c r="M10" i="4" s="1"/>
  <c r="N10" i="4" s="1"/>
  <c r="O10" i="4" s="1"/>
  <c r="P10" i="4" s="1"/>
  <c r="Q10" i="4" s="1"/>
  <c r="R10" i="4" s="1"/>
  <c r="S10" i="4" s="1"/>
  <c r="I13" i="4"/>
  <c r="I14" i="4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N10" i="5" l="1"/>
  <c r="O10" i="5" s="1"/>
  <c r="P10" i="5" s="1"/>
  <c r="Q10" i="5" s="1"/>
  <c r="R10" i="5" s="1"/>
  <c r="S10" i="5" s="1"/>
  <c r="T10" i="5" s="1"/>
  <c r="U10" i="5" s="1"/>
  <c r="T10" i="4"/>
  <c r="Q10" i="1"/>
  <c r="R10" i="1" s="1"/>
  <c r="S10" i="1"/>
  <c r="U10" i="1" s="1"/>
  <c r="L9" i="6"/>
  <c r="K16" i="6"/>
  <c r="K14" i="6"/>
  <c r="K13" i="6"/>
  <c r="K12" i="6"/>
  <c r="L11" i="6"/>
  <c r="V10" i="6"/>
  <c r="I17" i="6"/>
  <c r="J17" i="6"/>
  <c r="J17" i="5"/>
  <c r="K9" i="5"/>
  <c r="K14" i="5"/>
  <c r="K16" i="5"/>
  <c r="K13" i="5"/>
  <c r="K12" i="5"/>
  <c r="K15" i="5" s="1"/>
  <c r="I15" i="5"/>
  <c r="J16" i="4"/>
  <c r="J14" i="4"/>
  <c r="J13" i="4"/>
  <c r="J12" i="4"/>
  <c r="J15" i="4" s="1"/>
  <c r="K11" i="4"/>
  <c r="I15" i="4"/>
  <c r="K9" i="4"/>
  <c r="I13" i="1"/>
  <c r="I14" i="1"/>
  <c r="I9" i="1"/>
  <c r="J9" i="1" s="1"/>
  <c r="H17" i="1"/>
  <c r="J11" i="1"/>
  <c r="I12" i="1"/>
  <c r="I15" i="1" s="1"/>
  <c r="I16" i="1"/>
  <c r="G20" i="1"/>
  <c r="K15" i="6" l="1"/>
  <c r="L12" i="6"/>
  <c r="L15" i="6" s="1"/>
  <c r="L16" i="6"/>
  <c r="L14" i="6"/>
  <c r="L13" i="6"/>
  <c r="M11" i="6"/>
  <c r="Z10" i="6"/>
  <c r="Y10" i="6"/>
  <c r="M9" i="6"/>
  <c r="V10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O11" i="6" s="1"/>
  <c r="P11" i="6" s="1"/>
  <c r="M13" i="5"/>
  <c r="M12" i="5"/>
  <c r="M15" i="5" s="1"/>
  <c r="M16" i="5"/>
  <c r="M14" i="5"/>
  <c r="N11" i="5"/>
  <c r="O11" i="5" s="1"/>
  <c r="Z10" i="5"/>
  <c r="Y10" i="5"/>
  <c r="M9" i="5"/>
  <c r="L15" i="5"/>
  <c r="L14" i="4"/>
  <c r="L16" i="4"/>
  <c r="L13" i="4"/>
  <c r="L12" i="4"/>
  <c r="L15" i="4" s="1"/>
  <c r="M11" i="4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N16" i="5"/>
  <c r="N13" i="5"/>
  <c r="N14" i="5"/>
  <c r="L17" i="4"/>
  <c r="Y10" i="4"/>
  <c r="Z10" i="4"/>
  <c r="M12" i="4"/>
  <c r="M14" i="4"/>
  <c r="M13" i="4"/>
  <c r="N11" i="4"/>
  <c r="O11" i="4" s="1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M16" i="1"/>
  <c r="M13" i="1"/>
  <c r="M12" i="1"/>
  <c r="M15" i="1" s="1"/>
  <c r="N11" i="1"/>
  <c r="O11" i="1" s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R11" i="6" s="1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N13" i="1"/>
  <c r="N16" i="1"/>
  <c r="N9" i="1"/>
  <c r="O9" i="1" s="1"/>
  <c r="P9" i="1" s="1"/>
  <c r="N14" i="1"/>
  <c r="N12" i="1"/>
  <c r="N15" i="1" s="1"/>
  <c r="L17" i="1"/>
  <c r="O16" i="1"/>
  <c r="O13" i="1"/>
  <c r="O12" i="1"/>
  <c r="O15" i="1" s="1"/>
  <c r="Z9" i="4" l="1"/>
  <c r="Z20" i="4" s="1"/>
  <c r="R11" i="1"/>
  <c r="Q14" i="1"/>
  <c r="Q12" i="1"/>
  <c r="Q13" i="1"/>
  <c r="Q16" i="1"/>
  <c r="Q15" i="1"/>
  <c r="P14" i="1"/>
  <c r="Q15" i="6"/>
  <c r="Q14" i="6"/>
  <c r="Q13" i="6"/>
  <c r="Q12" i="6"/>
  <c r="Q16" i="6"/>
  <c r="P17" i="6"/>
  <c r="T9" i="6"/>
  <c r="R9" i="6"/>
  <c r="Q15" i="5"/>
  <c r="Q14" i="5"/>
  <c r="Q16" i="5"/>
  <c r="Q13" i="5"/>
  <c r="Q12" i="5"/>
  <c r="R11" i="5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5" i="1"/>
  <c r="S11" i="1"/>
  <c r="S14" i="1" s="1"/>
  <c r="R14" i="1"/>
  <c r="R12" i="1"/>
  <c r="R16" i="1"/>
  <c r="R13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S11" i="5"/>
  <c r="R15" i="5"/>
  <c r="R13" i="5"/>
  <c r="R12" i="5"/>
  <c r="Q12" i="4"/>
  <c r="R11" i="4"/>
  <c r="Q13" i="4"/>
  <c r="Q15" i="4"/>
  <c r="Q16" i="4"/>
  <c r="Q14" i="4"/>
  <c r="R9" i="1"/>
  <c r="Q17" i="1"/>
  <c r="S9" i="1"/>
  <c r="S16" i="1" l="1"/>
  <c r="T11" i="1"/>
  <c r="T14" i="1" s="1"/>
  <c r="S12" i="1"/>
  <c r="S15" i="1" s="1"/>
  <c r="Q17" i="4"/>
  <c r="S13" i="1"/>
  <c r="R17" i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T11" i="5"/>
  <c r="R14" i="4"/>
  <c r="R12" i="4"/>
  <c r="S11" i="4"/>
  <c r="R16" i="4"/>
  <c r="R13" i="4"/>
  <c r="R15" i="4"/>
  <c r="T9" i="1"/>
  <c r="P17" i="1"/>
  <c r="T12" i="1" l="1"/>
  <c r="T15" i="1" s="1"/>
  <c r="U11" i="1"/>
  <c r="U16" i="1" s="1"/>
  <c r="T16" i="1"/>
  <c r="T13" i="1"/>
  <c r="R17" i="4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V11" i="1"/>
  <c r="S17" i="1"/>
  <c r="U9" i="1"/>
  <c r="V9" i="1" s="1"/>
  <c r="F9" i="1" s="1"/>
  <c r="U14" i="1" l="1"/>
  <c r="V14" i="1" s="1"/>
  <c r="F14" i="1" s="1"/>
  <c r="U12" i="1"/>
  <c r="U15" i="1" s="1"/>
  <c r="V15" i="1" s="1"/>
  <c r="U13" i="1"/>
  <c r="T17" i="5"/>
  <c r="W11" i="1"/>
  <c r="F12" i="1"/>
  <c r="F11" i="1"/>
  <c r="T17" i="6"/>
  <c r="U13" i="6"/>
  <c r="V13" i="6" s="1"/>
  <c r="F13" i="6" s="1"/>
  <c r="U12" i="6"/>
  <c r="U16" i="6"/>
  <c r="V16" i="6" s="1"/>
  <c r="F16" i="6" s="1"/>
  <c r="U14" i="6"/>
  <c r="V14" i="6" s="1"/>
  <c r="F14" i="6" s="1"/>
  <c r="V11" i="6"/>
  <c r="W11" i="6" s="1"/>
  <c r="U16" i="5"/>
  <c r="V16" i="5" s="1"/>
  <c r="F16" i="5" s="1"/>
  <c r="U13" i="5"/>
  <c r="V13" i="5" s="1"/>
  <c r="F13" i="5" s="1"/>
  <c r="U12" i="5"/>
  <c r="U14" i="5"/>
  <c r="V14" i="5" s="1"/>
  <c r="F14" i="5" s="1"/>
  <c r="V11" i="5"/>
  <c r="S17" i="4"/>
  <c r="T13" i="4"/>
  <c r="T12" i="4"/>
  <c r="T15" i="4" s="1"/>
  <c r="U11" i="4"/>
  <c r="T16" i="4"/>
  <c r="T14" i="4"/>
  <c r="W9" i="1"/>
  <c r="T17" i="1"/>
  <c r="Z14" i="1" l="1"/>
  <c r="Y14" i="1"/>
  <c r="U17" i="1"/>
  <c r="F15" i="1"/>
  <c r="Z15" i="1"/>
  <c r="Y15" i="1"/>
  <c r="W11" i="5"/>
  <c r="W17" i="5" s="1"/>
  <c r="F11" i="5"/>
  <c r="F12" i="5"/>
  <c r="W17" i="1"/>
  <c r="W17" i="6"/>
  <c r="F12" i="6"/>
  <c r="F11" i="6"/>
  <c r="Z14" i="6"/>
  <c r="Y14" i="6"/>
  <c r="Z13" i="6"/>
  <c r="Y13" i="6"/>
  <c r="Z16" i="6"/>
  <c r="Y16" i="6"/>
  <c r="Z11" i="6"/>
  <c r="Y11" i="6"/>
  <c r="U15" i="6"/>
  <c r="V15" i="6" s="1"/>
  <c r="F15" i="6" s="1"/>
  <c r="V12" i="6"/>
  <c r="Z11" i="5"/>
  <c r="Y11" i="5"/>
  <c r="Z13" i="5"/>
  <c r="Y13" i="5"/>
  <c r="Z14" i="5"/>
  <c r="Y14" i="5"/>
  <c r="U15" i="5"/>
  <c r="V12" i="5"/>
  <c r="Z16" i="5"/>
  <c r="Y16" i="5"/>
  <c r="T17" i="4"/>
  <c r="U12" i="4"/>
  <c r="U16" i="4"/>
  <c r="V16" i="4" s="1"/>
  <c r="F16" i="4" s="1"/>
  <c r="U14" i="4"/>
  <c r="V14" i="4" s="1"/>
  <c r="F14" i="4" s="1"/>
  <c r="U13" i="4"/>
  <c r="V13" i="4" s="1"/>
  <c r="F13" i="4" s="1"/>
  <c r="V11" i="4"/>
  <c r="W11" i="4" s="1"/>
  <c r="V16" i="1"/>
  <c r="F16" i="1" s="1"/>
  <c r="V12" i="1"/>
  <c r="V13" i="1"/>
  <c r="F13" i="1" s="1"/>
  <c r="V17" i="6" l="1"/>
  <c r="F12" i="4"/>
  <c r="F11" i="4"/>
  <c r="Z15" i="6"/>
  <c r="Y15" i="6"/>
  <c r="U17" i="6"/>
  <c r="Y12" i="6"/>
  <c r="Z12" i="6"/>
  <c r="V15" i="5"/>
  <c r="U17" i="5"/>
  <c r="Y12" i="5"/>
  <c r="Z12" i="5"/>
  <c r="Y11" i="4"/>
  <c r="Z11" i="4"/>
  <c r="W17" i="4"/>
  <c r="Z13" i="4"/>
  <c r="Y13" i="4"/>
  <c r="Z14" i="4"/>
  <c r="Y14" i="4"/>
  <c r="Y16" i="4"/>
  <c r="Z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V17" i="5" l="1"/>
  <c r="F15" i="5"/>
  <c r="F17" i="5" s="1"/>
  <c r="F17" i="6"/>
  <c r="Y15" i="5"/>
  <c r="Z15" i="5"/>
  <c r="V15" i="4"/>
  <c r="F15" i="4" s="1"/>
  <c r="U17" i="4"/>
  <c r="Y12" i="4"/>
  <c r="Z12" i="4"/>
  <c r="Y10" i="1"/>
  <c r="Z10" i="1"/>
  <c r="Y15" i="4" l="1"/>
  <c r="F17" i="4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<sst xmlns="http://schemas.openxmlformats.org/spreadsheetml/2006/main" count="306" uniqueCount="68">
  <si>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</si>
  <si>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</si>
  <si>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</si>
  <si>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</si>
  <si>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</si>
  <si>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</si>
  <si>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</si>
  <si>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</si>
  <si>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</si>
  <si>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</si>
  <si>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</si>
  <si>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</si>
  <si>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</si>
  <si>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</si>
  <si>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</si>
  <si>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</si>
  <si>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</si>
  <si>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</si>
  <si>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</si>
  <si>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</si>
  <si>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</si>
  <si>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</si>
  <si>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</si>
  <si>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</si>
  <si>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</si>
  <si>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</si>
  <si>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</si>
  <si>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</si>
  <si>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</si>
  <si>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</si>
  <si>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</si>
  <si>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</si>
  <si>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</si>
  <si>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</si>
  <si>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</si>
  <si>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</si>
  <si>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</si>
  <si>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</si>
  <si>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</si>
  <si>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</si>
  <si>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</si>
  <si>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</si>
  <si>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</si>
  <si>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</si>
  <si>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</si>
  <si>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</si>
  <si>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</si>
  <si>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</si>
  <si>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</si>
  <si>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</si>
  <si>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</si>
  <si>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</si>
  <si>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</si>
  <si>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</si>
  <si>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</si>
  <si>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</si>
  <si>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</si>
  <si>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</si>
  <si>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</si>
  <si>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</si>
  <si>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</si>
  <si>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</si>
  <si>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</si>
  <si>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</si>
  <si>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</si>
  <si>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新鮮視 萬家福/樂家康 專案</t>
    <phoneticPr fontId="5" type="noConversion"/>
  </si>
  <si>
    <t>北區-北北基</t>
    <phoneticPr fontId="4" type="noConversion"/>
  </si>
  <si>
    <t>06-24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</si>
</sst>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49" fontId="20" fillId="0" borderId="28" xfId="1" quotePrefix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I11" sqref="I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3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30秒</v>
      </c>
      <c r="F9" s="56">
        <f>300000/420*V9*W6</f>
        <v>231000</v>
      </c>
      <c r="G9" s="154">
        <v>400000</v>
      </c>
      <c r="H9" s="57">
        <v>14</v>
      </c>
      <c r="I9" s="58">
        <f t="shared" ref="I9:U11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250000/420*W6*V9</f>
        <v>192499.99999999997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24</v>
      </c>
      <c r="I10" s="64">
        <f>H10</f>
        <v>24</v>
      </c>
      <c r="J10" s="64">
        <f>I10</f>
        <v>24</v>
      </c>
      <c r="K10" s="64">
        <f t="shared" si="1"/>
        <v>24</v>
      </c>
      <c r="L10" s="64">
        <f>K10</f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 t="shared" ref="P10:R11" si="3">O10</f>
        <v>24</v>
      </c>
      <c r="Q10" s="64">
        <f t="shared" si="3"/>
        <v>24</v>
      </c>
      <c r="R10" s="64">
        <f>Q10</f>
        <v>24</v>
      </c>
      <c r="S10" s="64">
        <f>R10</f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30秒</v>
      </c>
      <c r="F11" s="68">
        <f>150000/1008*V11*W7</f>
        <v>131249.99999999997</v>
      </c>
      <c r="G11" s="155"/>
      <c r="H11" s="69">
        <v>21</v>
      </c>
      <c r="I11" s="70">
        <f>H11</f>
        <v>21</v>
      </c>
      <c r="J11" s="70">
        <f t="shared" si="1"/>
        <v>21</v>
      </c>
      <c r="K11" s="70">
        <f t="shared" si="1"/>
        <v>21</v>
      </c>
      <c r="L11" s="70">
        <f t="shared" si="1"/>
        <v>21</v>
      </c>
      <c r="M11" s="70">
        <f t="shared" si="1"/>
        <v>21</v>
      </c>
      <c r="N11" s="70">
        <f t="shared" si="1"/>
        <v>21</v>
      </c>
      <c r="O11" s="70">
        <f>N11</f>
        <v>21</v>
      </c>
      <c r="P11" s="70">
        <f>O11</f>
        <v>21</v>
      </c>
      <c r="Q11" s="70">
        <f t="shared" si="3"/>
        <v>21</v>
      </c>
      <c r="R11" s="70">
        <f>Q11</f>
        <v>21</v>
      </c>
      <c r="S11" s="70">
        <f>R11</f>
        <v>21</v>
      </c>
      <c r="T11" s="70">
        <f t="shared" si="1"/>
        <v>21</v>
      </c>
      <c r="U11" s="70">
        <f t="shared" si="1"/>
        <v>21</v>
      </c>
      <c r="V11" s="71">
        <f t="shared" si="2"/>
        <v>294</v>
      </c>
      <c r="W11" s="137">
        <f>120000/504*W7*V11</f>
        <v>210000</v>
      </c>
      <c r="X11" s="33" t="s">
        <v>25</v>
      </c>
      <c r="Y11" s="34">
        <f t="shared" ref="Y11:Y16" si="4">V11*C11</f>
        <v>355446</v>
      </c>
      <c r="Z11" s="35">
        <f t="shared" ref="Z11:Z16" si="5">1000*(C11/24/6)*V11</f>
        <v>2468375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105000</v>
      </c>
      <c r="G12" s="155"/>
      <c r="H12" s="63">
        <f>H11</f>
        <v>21</v>
      </c>
      <c r="I12" s="64">
        <f>I11</f>
        <v>21</v>
      </c>
      <c r="J12" s="64">
        <f t="shared" ref="J12:U12" si="6">J11</f>
        <v>21</v>
      </c>
      <c r="K12" s="64">
        <f t="shared" si="6"/>
        <v>21</v>
      </c>
      <c r="L12" s="64">
        <f t="shared" si="6"/>
        <v>21</v>
      </c>
      <c r="M12" s="64">
        <f t="shared" si="6"/>
        <v>21</v>
      </c>
      <c r="N12" s="64">
        <f t="shared" si="6"/>
        <v>21</v>
      </c>
      <c r="O12" s="64">
        <f t="shared" si="6"/>
        <v>21</v>
      </c>
      <c r="P12" s="64">
        <f t="shared" si="6"/>
        <v>21</v>
      </c>
      <c r="Q12" s="64">
        <f>Q11</f>
        <v>21</v>
      </c>
      <c r="R12" s="64">
        <f>R11</f>
        <v>21</v>
      </c>
      <c r="S12" s="64">
        <f t="shared" si="6"/>
        <v>21</v>
      </c>
      <c r="T12" s="64">
        <f t="shared" si="6"/>
        <v>21</v>
      </c>
      <c r="U12" s="64">
        <f t="shared" si="6"/>
        <v>21</v>
      </c>
      <c r="V12" s="65">
        <f t="shared" si="2"/>
        <v>294</v>
      </c>
      <c r="W12" s="137"/>
      <c r="X12" s="33" t="s">
        <v>25</v>
      </c>
      <c r="Y12" s="34">
        <f t="shared" si="4"/>
        <v>194040</v>
      </c>
      <c r="Z12" s="35">
        <f t="shared" si="5"/>
        <v>1347500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78750</v>
      </c>
      <c r="G13" s="155"/>
      <c r="H13" s="63">
        <f>H11</f>
        <v>21</v>
      </c>
      <c r="I13" s="64">
        <f>I11</f>
        <v>21</v>
      </c>
      <c r="J13" s="64">
        <f t="shared" ref="J13:U13" si="7">J11</f>
        <v>21</v>
      </c>
      <c r="K13" s="64">
        <f t="shared" si="7"/>
        <v>21</v>
      </c>
      <c r="L13" s="64">
        <f t="shared" si="7"/>
        <v>21</v>
      </c>
      <c r="M13" s="64">
        <f t="shared" si="7"/>
        <v>21</v>
      </c>
      <c r="N13" s="64">
        <f t="shared" si="7"/>
        <v>21</v>
      </c>
      <c r="O13" s="64">
        <f t="shared" si="7"/>
        <v>21</v>
      </c>
      <c r="P13" s="64">
        <f t="shared" si="7"/>
        <v>21</v>
      </c>
      <c r="Q13" s="64">
        <f>Q11</f>
        <v>21</v>
      </c>
      <c r="R13" s="64">
        <f>R11</f>
        <v>21</v>
      </c>
      <c r="S13" s="64">
        <f t="shared" si="7"/>
        <v>21</v>
      </c>
      <c r="T13" s="64">
        <f t="shared" si="7"/>
        <v>21</v>
      </c>
      <c r="U13" s="64">
        <f t="shared" si="7"/>
        <v>21</v>
      </c>
      <c r="V13" s="65">
        <f t="shared" si="2"/>
        <v>294</v>
      </c>
      <c r="W13" s="137"/>
      <c r="X13" s="33" t="s">
        <v>25</v>
      </c>
      <c r="Y13" s="34">
        <f t="shared" si="4"/>
        <v>170226</v>
      </c>
      <c r="Z13" s="35">
        <f t="shared" si="5"/>
        <v>1182125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65624.999999999985</v>
      </c>
      <c r="G14" s="155"/>
      <c r="H14" s="63">
        <f t="shared" ref="H14:U15" si="8">H11</f>
        <v>21</v>
      </c>
      <c r="I14" s="64">
        <f t="shared" si="8"/>
        <v>21</v>
      </c>
      <c r="J14" s="64">
        <f t="shared" si="8"/>
        <v>21</v>
      </c>
      <c r="K14" s="64">
        <f t="shared" si="8"/>
        <v>21</v>
      </c>
      <c r="L14" s="64">
        <f t="shared" si="8"/>
        <v>21</v>
      </c>
      <c r="M14" s="64">
        <f t="shared" si="8"/>
        <v>21</v>
      </c>
      <c r="N14" s="64">
        <f t="shared" si="8"/>
        <v>21</v>
      </c>
      <c r="O14" s="64">
        <f t="shared" si="8"/>
        <v>21</v>
      </c>
      <c r="P14" s="64">
        <f t="shared" si="8"/>
        <v>21</v>
      </c>
      <c r="Q14" s="64">
        <f>Q11</f>
        <v>21</v>
      </c>
      <c r="R14" s="64">
        <f>R11</f>
        <v>21</v>
      </c>
      <c r="S14" s="64">
        <f t="shared" si="8"/>
        <v>21</v>
      </c>
      <c r="T14" s="64">
        <f t="shared" si="8"/>
        <v>21</v>
      </c>
      <c r="U14" s="64">
        <f t="shared" si="8"/>
        <v>21</v>
      </c>
      <c r="V14" s="65">
        <f t="shared" si="2"/>
        <v>294</v>
      </c>
      <c r="W14" s="137"/>
      <c r="X14" s="33" t="s">
        <v>25</v>
      </c>
      <c r="Y14" s="34">
        <f t="shared" si="4"/>
        <v>111720</v>
      </c>
      <c r="Z14" s="35">
        <f t="shared" si="5"/>
        <v>775833.33333333326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65624.999999999985</v>
      </c>
      <c r="G15" s="155"/>
      <c r="H15" s="63">
        <f t="shared" si="8"/>
        <v>21</v>
      </c>
      <c r="I15" s="64">
        <f t="shared" si="8"/>
        <v>21</v>
      </c>
      <c r="J15" s="64">
        <f t="shared" si="8"/>
        <v>21</v>
      </c>
      <c r="K15" s="64">
        <f t="shared" si="8"/>
        <v>21</v>
      </c>
      <c r="L15" s="64">
        <f t="shared" si="8"/>
        <v>21</v>
      </c>
      <c r="M15" s="64">
        <f t="shared" si="8"/>
        <v>21</v>
      </c>
      <c r="N15" s="64">
        <f t="shared" si="8"/>
        <v>21</v>
      </c>
      <c r="O15" s="64">
        <f t="shared" si="8"/>
        <v>21</v>
      </c>
      <c r="P15" s="64">
        <f t="shared" si="8"/>
        <v>21</v>
      </c>
      <c r="Q15" s="64">
        <f>Q11</f>
        <v>21</v>
      </c>
      <c r="R15" s="64">
        <f>R11</f>
        <v>21</v>
      </c>
      <c r="S15" s="64">
        <f t="shared" si="8"/>
        <v>21</v>
      </c>
      <c r="T15" s="64">
        <f t="shared" si="8"/>
        <v>21</v>
      </c>
      <c r="U15" s="64">
        <f t="shared" si="8"/>
        <v>21</v>
      </c>
      <c r="V15" s="65">
        <f t="shared" si="2"/>
        <v>294</v>
      </c>
      <c r="W15" s="137"/>
      <c r="X15" s="33" t="s">
        <v>25</v>
      </c>
      <c r="Y15" s="34">
        <f t="shared" si="4"/>
        <v>125832</v>
      </c>
      <c r="Z15" s="35">
        <f t="shared" si="5"/>
        <v>873833.33333333314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39375</v>
      </c>
      <c r="G16" s="156"/>
      <c r="H16" s="76">
        <f>H11</f>
        <v>21</v>
      </c>
      <c r="I16" s="77">
        <f>I11</f>
        <v>21</v>
      </c>
      <c r="J16" s="77">
        <f t="shared" ref="J16:U16" si="9">J11</f>
        <v>21</v>
      </c>
      <c r="K16" s="77">
        <f t="shared" si="9"/>
        <v>21</v>
      </c>
      <c r="L16" s="77">
        <f t="shared" si="9"/>
        <v>21</v>
      </c>
      <c r="M16" s="77">
        <f t="shared" si="9"/>
        <v>21</v>
      </c>
      <c r="N16" s="77">
        <f t="shared" si="9"/>
        <v>21</v>
      </c>
      <c r="O16" s="77">
        <f t="shared" si="9"/>
        <v>21</v>
      </c>
      <c r="P16" s="77">
        <f t="shared" si="9"/>
        <v>21</v>
      </c>
      <c r="Q16" s="77">
        <f>Q11</f>
        <v>21</v>
      </c>
      <c r="R16" s="77">
        <f>R11</f>
        <v>21</v>
      </c>
      <c r="S16" s="77">
        <f t="shared" si="9"/>
        <v>21</v>
      </c>
      <c r="T16" s="77">
        <f t="shared" si="9"/>
        <v>21</v>
      </c>
      <c r="U16" s="77">
        <f t="shared" si="9"/>
        <v>21</v>
      </c>
      <c r="V16" s="78">
        <f t="shared" si="2"/>
        <v>294</v>
      </c>
      <c r="W16" s="137"/>
      <c r="X16" s="33" t="s">
        <v>25</v>
      </c>
      <c r="Y16" s="34">
        <f t="shared" si="4"/>
        <v>27048</v>
      </c>
      <c r="Z16" s="35">
        <f t="shared" si="5"/>
        <v>187833.33333333334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716625</v>
      </c>
      <c r="G17" s="83">
        <f>SUM(G9:G13)</f>
        <v>400000</v>
      </c>
      <c r="H17" s="84">
        <f t="shared" ref="H17:U17" si="10">SUM(H9:H16)</f>
        <v>164</v>
      </c>
      <c r="I17" s="84">
        <f t="shared" si="10"/>
        <v>164</v>
      </c>
      <c r="J17" s="84">
        <f t="shared" si="10"/>
        <v>164</v>
      </c>
      <c r="K17" s="84">
        <f t="shared" si="10"/>
        <v>164</v>
      </c>
      <c r="L17" s="84">
        <f t="shared" si="10"/>
        <v>164</v>
      </c>
      <c r="M17" s="84">
        <f t="shared" si="10"/>
        <v>164</v>
      </c>
      <c r="N17" s="84">
        <f t="shared" si="10"/>
        <v>164</v>
      </c>
      <c r="O17" s="84">
        <f t="shared" si="10"/>
        <v>164</v>
      </c>
      <c r="P17" s="84">
        <f t="shared" si="10"/>
        <v>164</v>
      </c>
      <c r="Q17" s="84">
        <f t="shared" si="10"/>
        <v>164</v>
      </c>
      <c r="R17" s="84">
        <f t="shared" si="10"/>
        <v>164</v>
      </c>
      <c r="S17" s="84">
        <f t="shared" si="10"/>
        <v>164</v>
      </c>
      <c r="T17" s="84">
        <f t="shared" si="10"/>
        <v>164</v>
      </c>
      <c r="U17" s="84">
        <f t="shared" si="10"/>
        <v>164</v>
      </c>
      <c r="V17" s="85">
        <f>SUM(V7:V16)</f>
        <v>2296</v>
      </c>
      <c r="W17" s="138">
        <f>SUM(W9:W16)</f>
        <v>402500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I11" sqref="I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9" width="0" style="31" hidden="1" customWidth="1"/>
    <col min="30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52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2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">
        <v>50</v>
      </c>
      <c r="F9" s="56">
        <f>300000/420*V9*W6</f>
        <v>180000</v>
      </c>
      <c r="G9" s="154">
        <v>400000</v>
      </c>
      <c r="H9" s="57">
        <v>18</v>
      </c>
      <c r="I9" s="58">
        <f t="shared" ref="I9:U10" si="1">H9</f>
        <v>18</v>
      </c>
      <c r="J9" s="58">
        <f>I9</f>
        <v>18</v>
      </c>
      <c r="K9" s="58">
        <f t="shared" si="1"/>
        <v>18</v>
      </c>
      <c r="L9" s="58">
        <f>K9</f>
        <v>18</v>
      </c>
      <c r="M9" s="58">
        <f t="shared" si="1"/>
        <v>18</v>
      </c>
      <c r="N9" s="58">
        <f>M9</f>
        <v>18</v>
      </c>
      <c r="O9" s="58">
        <f>N9</f>
        <v>18</v>
      </c>
      <c r="P9" s="58">
        <f>O9</f>
        <v>18</v>
      </c>
      <c r="Q9" s="58">
        <f>P9</f>
        <v>18</v>
      </c>
      <c r="R9" s="58">
        <f>Q9</f>
        <v>18</v>
      </c>
      <c r="S9" s="58">
        <f>P9</f>
        <v>18</v>
      </c>
      <c r="T9" s="58">
        <f t="shared" si="1"/>
        <v>18</v>
      </c>
      <c r="U9" s="58">
        <f t="shared" si="1"/>
        <v>18</v>
      </c>
      <c r="V9" s="59">
        <f t="shared" ref="V9:V16" si="2">SUM(H9:U9)</f>
        <v>252</v>
      </c>
      <c r="W9" s="137">
        <f>250000/420*V9</f>
        <v>150000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31</v>
      </c>
      <c r="I10" s="64">
        <f>H10</f>
        <v>31</v>
      </c>
      <c r="J10" s="64">
        <f>I10</f>
        <v>31</v>
      </c>
      <c r="K10" s="64">
        <f t="shared" si="1"/>
        <v>31</v>
      </c>
      <c r="L10" s="64">
        <f t="shared" ref="L10" si="3">K10</f>
        <v>31</v>
      </c>
      <c r="M10" s="64">
        <f t="shared" si="1"/>
        <v>31</v>
      </c>
      <c r="N10" s="64">
        <f>M10</f>
        <v>31</v>
      </c>
      <c r="O10" s="64">
        <f t="shared" si="1"/>
        <v>31</v>
      </c>
      <c r="P10" s="64">
        <f>O10</f>
        <v>31</v>
      </c>
      <c r="Q10" s="64">
        <f>P10</f>
        <v>31</v>
      </c>
      <c r="R10" s="64">
        <f>Q10</f>
        <v>31</v>
      </c>
      <c r="S10" s="64">
        <f t="shared" ref="S10" si="4">P10</f>
        <v>31</v>
      </c>
      <c r="T10" s="64">
        <v>30</v>
      </c>
      <c r="U10" s="64">
        <f>T10</f>
        <v>30</v>
      </c>
      <c r="V10" s="65">
        <f t="shared" si="2"/>
        <v>432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">
        <v>50</v>
      </c>
      <c r="F11" s="68">
        <f>150000/1008*V11*W7</f>
        <v>158333.33333333331</v>
      </c>
      <c r="G11" s="155"/>
      <c r="H11" s="69">
        <v>38</v>
      </c>
      <c r="I11" s="70">
        <f>H11</f>
        <v>38</v>
      </c>
      <c r="J11" s="70">
        <f t="shared" ref="J11:U11" si="5">I11</f>
        <v>38</v>
      </c>
      <c r="K11" s="70">
        <f t="shared" si="5"/>
        <v>38</v>
      </c>
      <c r="L11" s="70">
        <f t="shared" si="5"/>
        <v>38</v>
      </c>
      <c r="M11" s="70">
        <f t="shared" si="5"/>
        <v>38</v>
      </c>
      <c r="N11" s="70">
        <f t="shared" si="5"/>
        <v>38</v>
      </c>
      <c r="O11" s="70">
        <f>N11</f>
        <v>38</v>
      </c>
      <c r="P11" s="70">
        <f>O11</f>
        <v>38</v>
      </c>
      <c r="Q11" s="70">
        <f>P11</f>
        <v>38</v>
      </c>
      <c r="R11" s="70">
        <f>Q11</f>
        <v>38</v>
      </c>
      <c r="S11" s="70">
        <f>R11</f>
        <v>38</v>
      </c>
      <c r="T11" s="70">
        <f t="shared" si="5"/>
        <v>38</v>
      </c>
      <c r="U11" s="70">
        <f t="shared" si="5"/>
        <v>38</v>
      </c>
      <c r="V11" s="71">
        <f t="shared" si="2"/>
        <v>532</v>
      </c>
      <c r="W11" s="137">
        <f>120000/504*W7*V11</f>
        <v>253333.33333333334</v>
      </c>
      <c r="X11" s="33" t="s">
        <v>25</v>
      </c>
      <c r="Y11" s="34">
        <f t="shared" ref="Y11:Y16" si="6">V11*C11</f>
        <v>643188</v>
      </c>
      <c r="Z11" s="35">
        <f t="shared" ref="Z11:Z16" si="7">1000*(C11/24/6)*V11</f>
        <v>4466583.333333334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126666.66666666667</v>
      </c>
      <c r="G12" s="155"/>
      <c r="H12" s="63">
        <f>H11</f>
        <v>38</v>
      </c>
      <c r="I12" s="64">
        <f>I11</f>
        <v>38</v>
      </c>
      <c r="J12" s="64">
        <f t="shared" ref="J12:U12" si="8">J11</f>
        <v>38</v>
      </c>
      <c r="K12" s="64">
        <f t="shared" si="8"/>
        <v>38</v>
      </c>
      <c r="L12" s="64">
        <f t="shared" si="8"/>
        <v>38</v>
      </c>
      <c r="M12" s="64">
        <f t="shared" si="8"/>
        <v>38</v>
      </c>
      <c r="N12" s="64">
        <f t="shared" si="8"/>
        <v>38</v>
      </c>
      <c r="O12" s="64">
        <f t="shared" si="8"/>
        <v>38</v>
      </c>
      <c r="P12" s="64">
        <f t="shared" si="8"/>
        <v>38</v>
      </c>
      <c r="Q12" s="64">
        <f>Q11</f>
        <v>38</v>
      </c>
      <c r="R12" s="64">
        <f>R11</f>
        <v>38</v>
      </c>
      <c r="S12" s="64">
        <f t="shared" si="8"/>
        <v>38</v>
      </c>
      <c r="T12" s="64">
        <f t="shared" si="8"/>
        <v>38</v>
      </c>
      <c r="U12" s="64">
        <f t="shared" si="8"/>
        <v>38</v>
      </c>
      <c r="V12" s="65">
        <f t="shared" si="2"/>
        <v>532</v>
      </c>
      <c r="W12" s="137"/>
      <c r="X12" s="33" t="s">
        <v>25</v>
      </c>
      <c r="Y12" s="34">
        <f t="shared" si="6"/>
        <v>351120</v>
      </c>
      <c r="Z12" s="35">
        <f t="shared" si="7"/>
        <v>2438333.333333333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95000</v>
      </c>
      <c r="G13" s="155"/>
      <c r="H13" s="63">
        <f>H11</f>
        <v>38</v>
      </c>
      <c r="I13" s="64">
        <f>I11</f>
        <v>38</v>
      </c>
      <c r="J13" s="64">
        <f t="shared" ref="J13:U13" si="9">J11</f>
        <v>38</v>
      </c>
      <c r="K13" s="64">
        <f t="shared" si="9"/>
        <v>38</v>
      </c>
      <c r="L13" s="64">
        <f t="shared" si="9"/>
        <v>38</v>
      </c>
      <c r="M13" s="64">
        <f t="shared" si="9"/>
        <v>38</v>
      </c>
      <c r="N13" s="64">
        <f t="shared" si="9"/>
        <v>38</v>
      </c>
      <c r="O13" s="64">
        <f t="shared" si="9"/>
        <v>38</v>
      </c>
      <c r="P13" s="64">
        <f t="shared" si="9"/>
        <v>38</v>
      </c>
      <c r="Q13" s="64">
        <f>Q11</f>
        <v>38</v>
      </c>
      <c r="R13" s="64">
        <f>R11</f>
        <v>38</v>
      </c>
      <c r="S13" s="64">
        <f t="shared" si="9"/>
        <v>38</v>
      </c>
      <c r="T13" s="64">
        <f t="shared" si="9"/>
        <v>38</v>
      </c>
      <c r="U13" s="64">
        <f t="shared" si="9"/>
        <v>38</v>
      </c>
      <c r="V13" s="65">
        <f t="shared" si="2"/>
        <v>532</v>
      </c>
      <c r="W13" s="137"/>
      <c r="X13" s="33" t="s">
        <v>25</v>
      </c>
      <c r="Y13" s="34">
        <f t="shared" si="6"/>
        <v>308028</v>
      </c>
      <c r="Z13" s="35">
        <f t="shared" si="7"/>
        <v>2139083.333333333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79166.666666666657</v>
      </c>
      <c r="G14" s="155"/>
      <c r="H14" s="63">
        <f t="shared" ref="H14:U14" si="10">H11</f>
        <v>38</v>
      </c>
      <c r="I14" s="64">
        <f t="shared" si="10"/>
        <v>38</v>
      </c>
      <c r="J14" s="64">
        <f t="shared" si="10"/>
        <v>38</v>
      </c>
      <c r="K14" s="64">
        <f t="shared" si="10"/>
        <v>38</v>
      </c>
      <c r="L14" s="64">
        <f t="shared" si="10"/>
        <v>38</v>
      </c>
      <c r="M14" s="64">
        <f t="shared" si="10"/>
        <v>38</v>
      </c>
      <c r="N14" s="64">
        <f t="shared" si="10"/>
        <v>38</v>
      </c>
      <c r="O14" s="64">
        <f t="shared" si="10"/>
        <v>38</v>
      </c>
      <c r="P14" s="64">
        <f t="shared" si="10"/>
        <v>38</v>
      </c>
      <c r="Q14" s="64">
        <f>Q11</f>
        <v>38</v>
      </c>
      <c r="R14" s="64">
        <f>R11</f>
        <v>38</v>
      </c>
      <c r="S14" s="64">
        <f t="shared" si="10"/>
        <v>38</v>
      </c>
      <c r="T14" s="64">
        <f t="shared" si="10"/>
        <v>38</v>
      </c>
      <c r="U14" s="64">
        <f t="shared" si="10"/>
        <v>38</v>
      </c>
      <c r="V14" s="65">
        <f t="shared" si="2"/>
        <v>532</v>
      </c>
      <c r="W14" s="137"/>
      <c r="X14" s="33" t="s">
        <v>25</v>
      </c>
      <c r="Y14" s="34">
        <f t="shared" si="6"/>
        <v>202160</v>
      </c>
      <c r="Z14" s="35">
        <f t="shared" si="7"/>
        <v>1403888.8888888888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79166.666666666657</v>
      </c>
      <c r="G15" s="155"/>
      <c r="H15" s="63">
        <f t="shared" ref="H15:U15" si="11">H12</f>
        <v>38</v>
      </c>
      <c r="I15" s="64">
        <f t="shared" si="11"/>
        <v>38</v>
      </c>
      <c r="J15" s="64">
        <f t="shared" si="11"/>
        <v>38</v>
      </c>
      <c r="K15" s="64">
        <f t="shared" si="11"/>
        <v>38</v>
      </c>
      <c r="L15" s="64">
        <f t="shared" si="11"/>
        <v>38</v>
      </c>
      <c r="M15" s="64">
        <f t="shared" si="11"/>
        <v>38</v>
      </c>
      <c r="N15" s="64">
        <f t="shared" si="11"/>
        <v>38</v>
      </c>
      <c r="O15" s="64">
        <f t="shared" si="11"/>
        <v>38</v>
      </c>
      <c r="P15" s="64">
        <f t="shared" si="11"/>
        <v>38</v>
      </c>
      <c r="Q15" s="64">
        <f>Q11</f>
        <v>38</v>
      </c>
      <c r="R15" s="64">
        <f>R11</f>
        <v>38</v>
      </c>
      <c r="S15" s="64">
        <f t="shared" si="11"/>
        <v>38</v>
      </c>
      <c r="T15" s="64">
        <f t="shared" si="11"/>
        <v>38</v>
      </c>
      <c r="U15" s="64">
        <f t="shared" si="11"/>
        <v>38</v>
      </c>
      <c r="V15" s="65">
        <f t="shared" si="2"/>
        <v>532</v>
      </c>
      <c r="W15" s="137"/>
      <c r="X15" s="33" t="s">
        <v>25</v>
      </c>
      <c r="Y15" s="34">
        <f t="shared" si="6"/>
        <v>227696</v>
      </c>
      <c r="Z15" s="35">
        <f t="shared" si="7"/>
        <v>1581222.222222222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47500</v>
      </c>
      <c r="G16" s="156"/>
      <c r="H16" s="76">
        <f>H11</f>
        <v>38</v>
      </c>
      <c r="I16" s="77">
        <f>I11</f>
        <v>38</v>
      </c>
      <c r="J16" s="77">
        <f t="shared" ref="J16:U16" si="12">J11</f>
        <v>38</v>
      </c>
      <c r="K16" s="77">
        <f t="shared" si="12"/>
        <v>38</v>
      </c>
      <c r="L16" s="77">
        <f t="shared" si="12"/>
        <v>38</v>
      </c>
      <c r="M16" s="77">
        <f t="shared" si="12"/>
        <v>38</v>
      </c>
      <c r="N16" s="77">
        <f t="shared" si="12"/>
        <v>38</v>
      </c>
      <c r="O16" s="77">
        <f t="shared" si="12"/>
        <v>38</v>
      </c>
      <c r="P16" s="77">
        <f t="shared" si="12"/>
        <v>38</v>
      </c>
      <c r="Q16" s="77">
        <f>Q11</f>
        <v>38</v>
      </c>
      <c r="R16" s="77">
        <f>R11</f>
        <v>38</v>
      </c>
      <c r="S16" s="77">
        <f t="shared" si="12"/>
        <v>38</v>
      </c>
      <c r="T16" s="77">
        <f t="shared" si="12"/>
        <v>38</v>
      </c>
      <c r="U16" s="77">
        <f t="shared" si="12"/>
        <v>38</v>
      </c>
      <c r="V16" s="78">
        <f t="shared" si="2"/>
        <v>532</v>
      </c>
      <c r="W16" s="137"/>
      <c r="X16" s="33" t="s">
        <v>25</v>
      </c>
      <c r="Y16" s="34">
        <f t="shared" si="6"/>
        <v>48944</v>
      </c>
      <c r="Z16" s="35">
        <f t="shared" si="7"/>
        <v>339888.88888888888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765833.33333333326</v>
      </c>
      <c r="G17" s="83">
        <f>SUM(G9:G13)</f>
        <v>400000</v>
      </c>
      <c r="H17" s="84">
        <f t="shared" ref="H17:U17" si="13">SUM(H9:H16)</f>
        <v>277</v>
      </c>
      <c r="I17" s="84">
        <f t="shared" si="13"/>
        <v>277</v>
      </c>
      <c r="J17" s="84">
        <f t="shared" si="13"/>
        <v>277</v>
      </c>
      <c r="K17" s="84">
        <f t="shared" si="13"/>
        <v>277</v>
      </c>
      <c r="L17" s="84">
        <f t="shared" si="13"/>
        <v>277</v>
      </c>
      <c r="M17" s="84">
        <f t="shared" si="13"/>
        <v>277</v>
      </c>
      <c r="N17" s="84">
        <f t="shared" si="13"/>
        <v>277</v>
      </c>
      <c r="O17" s="84">
        <f t="shared" si="13"/>
        <v>277</v>
      </c>
      <c r="P17" s="84">
        <f t="shared" si="13"/>
        <v>277</v>
      </c>
      <c r="Q17" s="84">
        <f t="shared" si="13"/>
        <v>277</v>
      </c>
      <c r="R17" s="84">
        <f t="shared" si="13"/>
        <v>277</v>
      </c>
      <c r="S17" s="84">
        <f t="shared" si="13"/>
        <v>277</v>
      </c>
      <c r="T17" s="84">
        <f t="shared" si="13"/>
        <v>276</v>
      </c>
      <c r="U17" s="84">
        <f t="shared" si="13"/>
        <v>276</v>
      </c>
      <c r="V17" s="85">
        <f>SUM(V7:V16)</f>
        <v>3876</v>
      </c>
      <c r="W17" s="138">
        <f>SUM(W9:W16)</f>
        <v>403333.33333333337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I11" sqref="I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62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1.5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15秒</v>
      </c>
      <c r="F9" s="56">
        <f>300000/420*V9*W6</f>
        <v>170000</v>
      </c>
      <c r="G9" s="154">
        <v>400000</v>
      </c>
      <c r="H9" s="57">
        <v>20</v>
      </c>
      <c r="I9" s="58">
        <f t="shared" ref="I9:U11" si="1">H9</f>
        <v>20</v>
      </c>
      <c r="J9" s="58">
        <f>I9</f>
        <v>20</v>
      </c>
      <c r="K9" s="58">
        <f t="shared" si="1"/>
        <v>20</v>
      </c>
      <c r="L9" s="58">
        <f>K9</f>
        <v>20</v>
      </c>
      <c r="M9" s="58">
        <f t="shared" si="1"/>
        <v>20</v>
      </c>
      <c r="N9" s="58">
        <f>M9</f>
        <v>20</v>
      </c>
      <c r="O9" s="58">
        <f>N9</f>
        <v>20</v>
      </c>
      <c r="P9" s="58">
        <f>O9</f>
        <v>20</v>
      </c>
      <c r="Q9" s="58">
        <f>P9</f>
        <v>20</v>
      </c>
      <c r="R9" s="58">
        <f>Q9</f>
        <v>20</v>
      </c>
      <c r="S9" s="58">
        <f>P9</f>
        <v>20</v>
      </c>
      <c r="T9" s="58">
        <f t="shared" si="1"/>
        <v>20</v>
      </c>
      <c r="U9" s="58">
        <f t="shared" si="1"/>
        <v>20</v>
      </c>
      <c r="V9" s="59">
        <f t="shared" ref="V9:V16" si="2">SUM(H9:U9)</f>
        <v>280</v>
      </c>
      <c r="W9" s="137">
        <f>250000/420*W6*V9</f>
        <v>141666.66666666666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35</v>
      </c>
      <c r="I10" s="64">
        <f>H10</f>
        <v>35</v>
      </c>
      <c r="J10" s="64">
        <f>I10</f>
        <v>35</v>
      </c>
      <c r="K10" s="64">
        <f t="shared" si="1"/>
        <v>35</v>
      </c>
      <c r="L10" s="64">
        <v>34</v>
      </c>
      <c r="M10" s="64">
        <f t="shared" si="1"/>
        <v>34</v>
      </c>
      <c r="N10" s="64">
        <f>M10</f>
        <v>34</v>
      </c>
      <c r="O10" s="64">
        <f t="shared" si="1"/>
        <v>34</v>
      </c>
      <c r="P10" s="64">
        <f>O10</f>
        <v>34</v>
      </c>
      <c r="Q10" s="64">
        <f t="shared" ref="P10:R11" si="3">P10</f>
        <v>34</v>
      </c>
      <c r="R10" s="64">
        <f>Q10</f>
        <v>34</v>
      </c>
      <c r="S10" s="64">
        <f>R10</f>
        <v>34</v>
      </c>
      <c r="T10" s="64">
        <f t="shared" si="1"/>
        <v>34</v>
      </c>
      <c r="U10" s="64">
        <f>T10</f>
        <v>34</v>
      </c>
      <c r="V10" s="65">
        <f t="shared" si="2"/>
        <v>480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15秒</v>
      </c>
      <c r="F11" s="68">
        <f>150000/1008*V11*W7</f>
        <v>162500</v>
      </c>
      <c r="G11" s="155"/>
      <c r="H11" s="69">
        <v>52</v>
      </c>
      <c r="I11" s="70">
        <f>H11</f>
        <v>52</v>
      </c>
      <c r="J11" s="70">
        <f t="shared" si="1"/>
        <v>52</v>
      </c>
      <c r="K11" s="70">
        <f t="shared" si="1"/>
        <v>52</v>
      </c>
      <c r="L11" s="70">
        <f>K11</f>
        <v>52</v>
      </c>
      <c r="M11" s="70">
        <f t="shared" si="1"/>
        <v>52</v>
      </c>
      <c r="N11" s="70">
        <f t="shared" si="1"/>
        <v>52</v>
      </c>
      <c r="O11" s="70">
        <f t="shared" si="1"/>
        <v>52</v>
      </c>
      <c r="P11" s="70">
        <f t="shared" si="3"/>
        <v>52</v>
      </c>
      <c r="Q11" s="70">
        <f t="shared" si="3"/>
        <v>52</v>
      </c>
      <c r="R11" s="70">
        <f t="shared" si="3"/>
        <v>52</v>
      </c>
      <c r="S11" s="70">
        <f>R11</f>
        <v>52</v>
      </c>
      <c r="T11" s="70">
        <f t="shared" si="1"/>
        <v>52</v>
      </c>
      <c r="U11" s="70">
        <f t="shared" si="1"/>
        <v>52</v>
      </c>
      <c r="V11" s="71">
        <f t="shared" si="2"/>
        <v>728</v>
      </c>
      <c r="W11" s="137">
        <f>120000/504*W7*V11</f>
        <v>260000.00000000003</v>
      </c>
      <c r="X11" s="33" t="s">
        <v>25</v>
      </c>
      <c r="Y11" s="34">
        <f t="shared" ref="Y11:Y16" si="4">V11*C11</f>
        <v>880152</v>
      </c>
      <c r="Z11" s="35">
        <f t="shared" ref="Z11:Z16" si="5">1000*(C11/24/6)*V11</f>
        <v>6112166.666666667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130000</v>
      </c>
      <c r="G12" s="155"/>
      <c r="H12" s="63">
        <f>H11</f>
        <v>52</v>
      </c>
      <c r="I12" s="64">
        <f>I11</f>
        <v>52</v>
      </c>
      <c r="J12" s="64">
        <f t="shared" ref="J12:U12" si="6">J11</f>
        <v>52</v>
      </c>
      <c r="K12" s="64">
        <f t="shared" si="6"/>
        <v>52</v>
      </c>
      <c r="L12" s="64">
        <f t="shared" si="6"/>
        <v>52</v>
      </c>
      <c r="M12" s="64">
        <f t="shared" si="6"/>
        <v>52</v>
      </c>
      <c r="N12" s="64">
        <f t="shared" si="6"/>
        <v>52</v>
      </c>
      <c r="O12" s="64">
        <f t="shared" si="6"/>
        <v>52</v>
      </c>
      <c r="P12" s="64">
        <f t="shared" si="6"/>
        <v>52</v>
      </c>
      <c r="Q12" s="64">
        <f>Q11</f>
        <v>52</v>
      </c>
      <c r="R12" s="64">
        <f>R11</f>
        <v>52</v>
      </c>
      <c r="S12" s="64">
        <f t="shared" si="6"/>
        <v>52</v>
      </c>
      <c r="T12" s="64">
        <f t="shared" si="6"/>
        <v>52</v>
      </c>
      <c r="U12" s="64">
        <f t="shared" si="6"/>
        <v>52</v>
      </c>
      <c r="V12" s="65">
        <f t="shared" si="2"/>
        <v>728</v>
      </c>
      <c r="W12" s="137"/>
      <c r="X12" s="33" t="s">
        <v>25</v>
      </c>
      <c r="Y12" s="34">
        <f t="shared" si="4"/>
        <v>480480</v>
      </c>
      <c r="Z12" s="35">
        <f t="shared" si="5"/>
        <v>3336666.6666666665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97500.000000000015</v>
      </c>
      <c r="G13" s="155"/>
      <c r="H13" s="63">
        <f>H11</f>
        <v>52</v>
      </c>
      <c r="I13" s="64">
        <f>I11</f>
        <v>52</v>
      </c>
      <c r="J13" s="64">
        <f t="shared" ref="J13:U13" si="7">J11</f>
        <v>52</v>
      </c>
      <c r="K13" s="64">
        <f t="shared" si="7"/>
        <v>52</v>
      </c>
      <c r="L13" s="64">
        <f t="shared" si="7"/>
        <v>52</v>
      </c>
      <c r="M13" s="64">
        <f t="shared" si="7"/>
        <v>52</v>
      </c>
      <c r="N13" s="64">
        <f t="shared" si="7"/>
        <v>52</v>
      </c>
      <c r="O13" s="64">
        <f t="shared" si="7"/>
        <v>52</v>
      </c>
      <c r="P13" s="64">
        <f t="shared" si="7"/>
        <v>52</v>
      </c>
      <c r="Q13" s="64">
        <f>Q11</f>
        <v>52</v>
      </c>
      <c r="R13" s="64">
        <f>R11</f>
        <v>52</v>
      </c>
      <c r="S13" s="64">
        <f t="shared" si="7"/>
        <v>52</v>
      </c>
      <c r="T13" s="64">
        <f t="shared" si="7"/>
        <v>52</v>
      </c>
      <c r="U13" s="64">
        <f t="shared" si="7"/>
        <v>52</v>
      </c>
      <c r="V13" s="65">
        <f t="shared" si="2"/>
        <v>728</v>
      </c>
      <c r="W13" s="137"/>
      <c r="X13" s="33" t="s">
        <v>25</v>
      </c>
      <c r="Y13" s="34">
        <f t="shared" si="4"/>
        <v>421512</v>
      </c>
      <c r="Z13" s="35">
        <f t="shared" si="5"/>
        <v>2927166.6666666665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81250</v>
      </c>
      <c r="G14" s="155"/>
      <c r="H14" s="63">
        <f t="shared" ref="H14:U15" si="8">H11</f>
        <v>52</v>
      </c>
      <c r="I14" s="64">
        <f t="shared" si="8"/>
        <v>52</v>
      </c>
      <c r="J14" s="64">
        <f t="shared" si="8"/>
        <v>52</v>
      </c>
      <c r="K14" s="64">
        <f t="shared" si="8"/>
        <v>52</v>
      </c>
      <c r="L14" s="64">
        <f t="shared" si="8"/>
        <v>52</v>
      </c>
      <c r="M14" s="64">
        <f t="shared" si="8"/>
        <v>52</v>
      </c>
      <c r="N14" s="64">
        <f t="shared" si="8"/>
        <v>52</v>
      </c>
      <c r="O14" s="64">
        <f t="shared" si="8"/>
        <v>52</v>
      </c>
      <c r="P14" s="64">
        <f t="shared" si="8"/>
        <v>52</v>
      </c>
      <c r="Q14" s="64">
        <f>Q11</f>
        <v>52</v>
      </c>
      <c r="R14" s="64">
        <f>R11</f>
        <v>52</v>
      </c>
      <c r="S14" s="64">
        <f t="shared" si="8"/>
        <v>52</v>
      </c>
      <c r="T14" s="64">
        <f t="shared" si="8"/>
        <v>52</v>
      </c>
      <c r="U14" s="64">
        <f t="shared" si="8"/>
        <v>52</v>
      </c>
      <c r="V14" s="65">
        <f t="shared" si="2"/>
        <v>728</v>
      </c>
      <c r="W14" s="137"/>
      <c r="X14" s="33" t="s">
        <v>25</v>
      </c>
      <c r="Y14" s="34">
        <f t="shared" si="4"/>
        <v>276640</v>
      </c>
      <c r="Z14" s="35">
        <f t="shared" si="5"/>
        <v>1921111.111111111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81250</v>
      </c>
      <c r="G15" s="155"/>
      <c r="H15" s="63">
        <f t="shared" si="8"/>
        <v>52</v>
      </c>
      <c r="I15" s="64">
        <f t="shared" si="8"/>
        <v>52</v>
      </c>
      <c r="J15" s="64">
        <f t="shared" si="8"/>
        <v>52</v>
      </c>
      <c r="K15" s="64">
        <f t="shared" si="8"/>
        <v>52</v>
      </c>
      <c r="L15" s="64">
        <f t="shared" si="8"/>
        <v>52</v>
      </c>
      <c r="M15" s="64">
        <f t="shared" si="8"/>
        <v>52</v>
      </c>
      <c r="N15" s="64">
        <f t="shared" si="8"/>
        <v>52</v>
      </c>
      <c r="O15" s="64">
        <f t="shared" si="8"/>
        <v>52</v>
      </c>
      <c r="P15" s="64">
        <f t="shared" si="8"/>
        <v>52</v>
      </c>
      <c r="Q15" s="64">
        <f>Q11</f>
        <v>52</v>
      </c>
      <c r="R15" s="64">
        <f>R11</f>
        <v>52</v>
      </c>
      <c r="S15" s="64">
        <f t="shared" si="8"/>
        <v>52</v>
      </c>
      <c r="T15" s="64">
        <f t="shared" si="8"/>
        <v>52</v>
      </c>
      <c r="U15" s="64">
        <f t="shared" si="8"/>
        <v>52</v>
      </c>
      <c r="V15" s="65">
        <f t="shared" si="2"/>
        <v>728</v>
      </c>
      <c r="W15" s="137"/>
      <c r="X15" s="33" t="s">
        <v>25</v>
      </c>
      <c r="Y15" s="34">
        <f t="shared" si="4"/>
        <v>311584</v>
      </c>
      <c r="Z15" s="35">
        <f t="shared" si="5"/>
        <v>2163777.7777777775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48750.000000000007</v>
      </c>
      <c r="G16" s="156"/>
      <c r="H16" s="76">
        <f>H11</f>
        <v>52</v>
      </c>
      <c r="I16" s="77">
        <f>I11</f>
        <v>52</v>
      </c>
      <c r="J16" s="77">
        <f t="shared" ref="J16:U16" si="9">J11</f>
        <v>52</v>
      </c>
      <c r="K16" s="77">
        <f t="shared" si="9"/>
        <v>52</v>
      </c>
      <c r="L16" s="77">
        <f t="shared" si="9"/>
        <v>52</v>
      </c>
      <c r="M16" s="77">
        <f t="shared" si="9"/>
        <v>52</v>
      </c>
      <c r="N16" s="77">
        <f t="shared" si="9"/>
        <v>52</v>
      </c>
      <c r="O16" s="77">
        <f t="shared" si="9"/>
        <v>52</v>
      </c>
      <c r="P16" s="77">
        <f t="shared" si="9"/>
        <v>52</v>
      </c>
      <c r="Q16" s="77">
        <f>Q11</f>
        <v>52</v>
      </c>
      <c r="R16" s="77">
        <f>R11</f>
        <v>52</v>
      </c>
      <c r="S16" s="77">
        <f t="shared" si="9"/>
        <v>52</v>
      </c>
      <c r="T16" s="77">
        <f t="shared" si="9"/>
        <v>52</v>
      </c>
      <c r="U16" s="77">
        <f t="shared" si="9"/>
        <v>52</v>
      </c>
      <c r="V16" s="78">
        <f t="shared" si="2"/>
        <v>728</v>
      </c>
      <c r="W16" s="137"/>
      <c r="X16" s="33" t="s">
        <v>25</v>
      </c>
      <c r="Y16" s="34">
        <f t="shared" si="4"/>
        <v>66976</v>
      </c>
      <c r="Z16" s="35">
        <f t="shared" si="5"/>
        <v>465111.11111111112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771250</v>
      </c>
      <c r="G17" s="83">
        <f>SUM(G9:G13)</f>
        <v>400000</v>
      </c>
      <c r="H17" s="84">
        <f t="shared" ref="H17:U17" si="10">SUM(H9:H16)</f>
        <v>367</v>
      </c>
      <c r="I17" s="84">
        <f t="shared" si="10"/>
        <v>367</v>
      </c>
      <c r="J17" s="84">
        <f t="shared" si="10"/>
        <v>367</v>
      </c>
      <c r="K17" s="84">
        <f t="shared" si="10"/>
        <v>367</v>
      </c>
      <c r="L17" s="84">
        <f t="shared" si="10"/>
        <v>366</v>
      </c>
      <c r="M17" s="84">
        <f t="shared" si="10"/>
        <v>366</v>
      </c>
      <c r="N17" s="84">
        <f t="shared" si="10"/>
        <v>366</v>
      </c>
      <c r="O17" s="84">
        <f t="shared" si="10"/>
        <v>366</v>
      </c>
      <c r="P17" s="84">
        <f t="shared" si="10"/>
        <v>366</v>
      </c>
      <c r="Q17" s="84">
        <f t="shared" si="10"/>
        <v>366</v>
      </c>
      <c r="R17" s="84">
        <f t="shared" si="10"/>
        <v>366</v>
      </c>
      <c r="S17" s="84">
        <f t="shared" si="10"/>
        <v>366</v>
      </c>
      <c r="T17" s="84">
        <f t="shared" si="10"/>
        <v>366</v>
      </c>
      <c r="U17" s="84">
        <f t="shared" si="10"/>
        <v>366</v>
      </c>
      <c r="V17" s="85">
        <f>SUM(V7:V16)</f>
        <v>5128</v>
      </c>
      <c r="W17" s="138">
        <f>SUM(W9:W16)</f>
        <v>401666.66666666669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AF16" sqref="AF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61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1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10秒</v>
      </c>
      <c r="F9" s="56">
        <f>300000/420*V9*W6</f>
        <v>182000</v>
      </c>
      <c r="G9" s="154">
        <v>400000</v>
      </c>
      <c r="H9" s="57">
        <v>28</v>
      </c>
      <c r="I9" s="58">
        <f t="shared" ref="I9:U11" si="1">H9</f>
        <v>28</v>
      </c>
      <c r="J9" s="58">
        <f>I9</f>
        <v>28</v>
      </c>
      <c r="K9" s="58">
        <f t="shared" si="1"/>
        <v>28</v>
      </c>
      <c r="L9" s="58">
        <f>K9</f>
        <v>28</v>
      </c>
      <c r="M9" s="58">
        <f t="shared" si="1"/>
        <v>28</v>
      </c>
      <c r="N9" s="58">
        <f>M9</f>
        <v>28</v>
      </c>
      <c r="O9" s="58">
        <f>N9</f>
        <v>28</v>
      </c>
      <c r="P9" s="58">
        <f>O9</f>
        <v>28</v>
      </c>
      <c r="Q9" s="58">
        <f>P9</f>
        <v>28</v>
      </c>
      <c r="R9" s="58">
        <f>Q9</f>
        <v>28</v>
      </c>
      <c r="S9" s="58">
        <f>P9</f>
        <v>28</v>
      </c>
      <c r="T9" s="58">
        <f t="shared" si="1"/>
        <v>28</v>
      </c>
      <c r="U9" s="58">
        <f t="shared" si="1"/>
        <v>28</v>
      </c>
      <c r="V9" s="59">
        <f t="shared" ref="V9:V16" si="2">SUM(H9:U9)</f>
        <v>392</v>
      </c>
      <c r="W9" s="137">
        <f>250000/420*W6*V9</f>
        <v>151666.66666666666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48</v>
      </c>
      <c r="I10" s="64">
        <f>H10</f>
        <v>48</v>
      </c>
      <c r="J10" s="64">
        <f t="shared" si="1"/>
        <v>48</v>
      </c>
      <c r="K10" s="64">
        <f t="shared" si="1"/>
        <v>48</v>
      </c>
      <c r="L10" s="64">
        <f t="shared" si="1"/>
        <v>48</v>
      </c>
      <c r="M10" s="64">
        <f t="shared" si="1"/>
        <v>48</v>
      </c>
      <c r="N10" s="64">
        <f>M10</f>
        <v>48</v>
      </c>
      <c r="O10" s="64">
        <f t="shared" si="1"/>
        <v>48</v>
      </c>
      <c r="P10" s="64">
        <f t="shared" ref="P10:R11" si="3">O10</f>
        <v>48</v>
      </c>
      <c r="Q10" s="64">
        <f t="shared" si="3"/>
        <v>48</v>
      </c>
      <c r="R10" s="64">
        <f>Q10</f>
        <v>48</v>
      </c>
      <c r="S10" s="64">
        <f>R10</f>
        <v>48</v>
      </c>
      <c r="T10" s="64">
        <f>S10</f>
        <v>48</v>
      </c>
      <c r="U10" s="64">
        <f>T10</f>
        <v>48</v>
      </c>
      <c r="V10" s="65">
        <f t="shared" si="2"/>
        <v>672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10秒</v>
      </c>
      <c r="F11" s="68">
        <f>150000/1008*V11*W7</f>
        <v>156250</v>
      </c>
      <c r="G11" s="155"/>
      <c r="H11" s="69">
        <v>75</v>
      </c>
      <c r="I11" s="70">
        <f>H11</f>
        <v>75</v>
      </c>
      <c r="J11" s="70">
        <f t="shared" si="1"/>
        <v>75</v>
      </c>
      <c r="K11" s="70">
        <f t="shared" si="1"/>
        <v>75</v>
      </c>
      <c r="L11" s="70">
        <f t="shared" si="1"/>
        <v>75</v>
      </c>
      <c r="M11" s="70">
        <f t="shared" si="1"/>
        <v>75</v>
      </c>
      <c r="N11" s="70">
        <f t="shared" si="1"/>
        <v>75</v>
      </c>
      <c r="O11" s="70">
        <f>N11</f>
        <v>75</v>
      </c>
      <c r="P11" s="70">
        <f t="shared" si="3"/>
        <v>75</v>
      </c>
      <c r="Q11" s="70">
        <f t="shared" si="3"/>
        <v>75</v>
      </c>
      <c r="R11" s="70">
        <f t="shared" si="3"/>
        <v>75</v>
      </c>
      <c r="S11" s="70">
        <f>R11</f>
        <v>75</v>
      </c>
      <c r="T11" s="70">
        <f t="shared" si="1"/>
        <v>75</v>
      </c>
      <c r="U11" s="70">
        <f t="shared" si="1"/>
        <v>75</v>
      </c>
      <c r="V11" s="71">
        <f t="shared" si="2"/>
        <v>1050</v>
      </c>
      <c r="W11" s="137">
        <f>120000/504*W7*V11</f>
        <v>250000</v>
      </c>
      <c r="X11" s="33" t="s">
        <v>25</v>
      </c>
      <c r="Y11" s="34">
        <f t="shared" ref="Y11:Y16" si="4">V11*C11</f>
        <v>1269450</v>
      </c>
      <c r="Z11" s="35">
        <f t="shared" ref="Z11:Z16" si="5">1000*(C11/24/6)*V11</f>
        <v>8815625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125000</v>
      </c>
      <c r="G12" s="155"/>
      <c r="H12" s="63">
        <f>H11</f>
        <v>75</v>
      </c>
      <c r="I12" s="64">
        <f>I11</f>
        <v>75</v>
      </c>
      <c r="J12" s="64">
        <f t="shared" ref="J12:U12" si="6">J11</f>
        <v>75</v>
      </c>
      <c r="K12" s="64">
        <f t="shared" si="6"/>
        <v>75</v>
      </c>
      <c r="L12" s="64">
        <f t="shared" si="6"/>
        <v>75</v>
      </c>
      <c r="M12" s="64">
        <f t="shared" si="6"/>
        <v>75</v>
      </c>
      <c r="N12" s="64">
        <f t="shared" si="6"/>
        <v>75</v>
      </c>
      <c r="O12" s="64">
        <f t="shared" si="6"/>
        <v>75</v>
      </c>
      <c r="P12" s="64">
        <f t="shared" si="6"/>
        <v>75</v>
      </c>
      <c r="Q12" s="64">
        <f>Q11</f>
        <v>75</v>
      </c>
      <c r="R12" s="64">
        <f>R11</f>
        <v>75</v>
      </c>
      <c r="S12" s="64">
        <f t="shared" si="6"/>
        <v>75</v>
      </c>
      <c r="T12" s="64">
        <f t="shared" si="6"/>
        <v>75</v>
      </c>
      <c r="U12" s="64">
        <f t="shared" si="6"/>
        <v>75</v>
      </c>
      <c r="V12" s="65">
        <f t="shared" si="2"/>
        <v>1050</v>
      </c>
      <c r="W12" s="137"/>
      <c r="X12" s="33" t="s">
        <v>25</v>
      </c>
      <c r="Y12" s="34">
        <f t="shared" si="4"/>
        <v>693000</v>
      </c>
      <c r="Z12" s="35">
        <f t="shared" si="5"/>
        <v>4812500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93750</v>
      </c>
      <c r="G13" s="155"/>
      <c r="H13" s="63">
        <f>H11</f>
        <v>75</v>
      </c>
      <c r="I13" s="64">
        <f>I11</f>
        <v>75</v>
      </c>
      <c r="J13" s="64">
        <f t="shared" ref="J13:U13" si="7">J11</f>
        <v>75</v>
      </c>
      <c r="K13" s="64">
        <f t="shared" si="7"/>
        <v>75</v>
      </c>
      <c r="L13" s="64">
        <f t="shared" si="7"/>
        <v>75</v>
      </c>
      <c r="M13" s="64">
        <f t="shared" si="7"/>
        <v>75</v>
      </c>
      <c r="N13" s="64">
        <f t="shared" si="7"/>
        <v>75</v>
      </c>
      <c r="O13" s="64">
        <f t="shared" si="7"/>
        <v>75</v>
      </c>
      <c r="P13" s="64">
        <f t="shared" si="7"/>
        <v>75</v>
      </c>
      <c r="Q13" s="64">
        <f>Q11</f>
        <v>75</v>
      </c>
      <c r="R13" s="64">
        <f>R11</f>
        <v>75</v>
      </c>
      <c r="S13" s="64">
        <f t="shared" si="7"/>
        <v>75</v>
      </c>
      <c r="T13" s="64">
        <f t="shared" si="7"/>
        <v>75</v>
      </c>
      <c r="U13" s="64">
        <f t="shared" si="7"/>
        <v>75</v>
      </c>
      <c r="V13" s="65">
        <f t="shared" si="2"/>
        <v>1050</v>
      </c>
      <c r="W13" s="137"/>
      <c r="X13" s="33" t="s">
        <v>25</v>
      </c>
      <c r="Y13" s="34">
        <f t="shared" si="4"/>
        <v>607950</v>
      </c>
      <c r="Z13" s="35">
        <f t="shared" si="5"/>
        <v>4221875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78125</v>
      </c>
      <c r="G14" s="155"/>
      <c r="H14" s="63">
        <f t="shared" ref="H14:U15" si="8">H11</f>
        <v>75</v>
      </c>
      <c r="I14" s="64">
        <f t="shared" si="8"/>
        <v>75</v>
      </c>
      <c r="J14" s="64">
        <f t="shared" si="8"/>
        <v>75</v>
      </c>
      <c r="K14" s="64">
        <f t="shared" si="8"/>
        <v>75</v>
      </c>
      <c r="L14" s="64">
        <f t="shared" si="8"/>
        <v>75</v>
      </c>
      <c r="M14" s="64">
        <f t="shared" si="8"/>
        <v>75</v>
      </c>
      <c r="N14" s="64">
        <f t="shared" si="8"/>
        <v>75</v>
      </c>
      <c r="O14" s="64">
        <f t="shared" si="8"/>
        <v>75</v>
      </c>
      <c r="P14" s="64">
        <f t="shared" si="8"/>
        <v>75</v>
      </c>
      <c r="Q14" s="64">
        <f>Q11</f>
        <v>75</v>
      </c>
      <c r="R14" s="64">
        <f>R11</f>
        <v>75</v>
      </c>
      <c r="S14" s="64">
        <f t="shared" si="8"/>
        <v>75</v>
      </c>
      <c r="T14" s="64">
        <f t="shared" si="8"/>
        <v>75</v>
      </c>
      <c r="U14" s="64">
        <f t="shared" si="8"/>
        <v>75</v>
      </c>
      <c r="V14" s="65">
        <f t="shared" si="2"/>
        <v>1050</v>
      </c>
      <c r="W14" s="137"/>
      <c r="X14" s="33" t="s">
        <v>25</v>
      </c>
      <c r="Y14" s="34">
        <f t="shared" si="4"/>
        <v>399000</v>
      </c>
      <c r="Z14" s="35">
        <f t="shared" si="5"/>
        <v>2770833.333333333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78125</v>
      </c>
      <c r="G15" s="155"/>
      <c r="H15" s="63">
        <f t="shared" si="8"/>
        <v>75</v>
      </c>
      <c r="I15" s="64">
        <f t="shared" si="8"/>
        <v>75</v>
      </c>
      <c r="J15" s="64">
        <f t="shared" si="8"/>
        <v>75</v>
      </c>
      <c r="K15" s="64">
        <f t="shared" si="8"/>
        <v>75</v>
      </c>
      <c r="L15" s="64">
        <f t="shared" si="8"/>
        <v>75</v>
      </c>
      <c r="M15" s="64">
        <f t="shared" si="8"/>
        <v>75</v>
      </c>
      <c r="N15" s="64">
        <f t="shared" si="8"/>
        <v>75</v>
      </c>
      <c r="O15" s="64">
        <f t="shared" si="8"/>
        <v>75</v>
      </c>
      <c r="P15" s="64">
        <f t="shared" si="8"/>
        <v>75</v>
      </c>
      <c r="Q15" s="64">
        <f>Q11</f>
        <v>75</v>
      </c>
      <c r="R15" s="64">
        <f>R11</f>
        <v>75</v>
      </c>
      <c r="S15" s="64">
        <f t="shared" si="8"/>
        <v>75</v>
      </c>
      <c r="T15" s="64">
        <f t="shared" si="8"/>
        <v>75</v>
      </c>
      <c r="U15" s="64">
        <f t="shared" si="8"/>
        <v>75</v>
      </c>
      <c r="V15" s="65">
        <f t="shared" si="2"/>
        <v>1050</v>
      </c>
      <c r="W15" s="137"/>
      <c r="X15" s="33" t="s">
        <v>25</v>
      </c>
      <c r="Y15" s="34">
        <f t="shared" si="4"/>
        <v>449400</v>
      </c>
      <c r="Z15" s="35">
        <f t="shared" si="5"/>
        <v>3120833.333333333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46875</v>
      </c>
      <c r="G16" s="156"/>
      <c r="H16" s="76">
        <f>H11</f>
        <v>75</v>
      </c>
      <c r="I16" s="77">
        <f>I11</f>
        <v>75</v>
      </c>
      <c r="J16" s="77">
        <f t="shared" ref="J16:U16" si="9">J11</f>
        <v>75</v>
      </c>
      <c r="K16" s="77">
        <f t="shared" si="9"/>
        <v>75</v>
      </c>
      <c r="L16" s="77">
        <f t="shared" si="9"/>
        <v>75</v>
      </c>
      <c r="M16" s="77">
        <f t="shared" si="9"/>
        <v>75</v>
      </c>
      <c r="N16" s="77">
        <f t="shared" si="9"/>
        <v>75</v>
      </c>
      <c r="O16" s="77">
        <f t="shared" si="9"/>
        <v>75</v>
      </c>
      <c r="P16" s="77">
        <f t="shared" si="9"/>
        <v>75</v>
      </c>
      <c r="Q16" s="77">
        <f>Q11</f>
        <v>75</v>
      </c>
      <c r="R16" s="77">
        <f>R11</f>
        <v>75</v>
      </c>
      <c r="S16" s="77">
        <f t="shared" si="9"/>
        <v>75</v>
      </c>
      <c r="T16" s="77">
        <f t="shared" si="9"/>
        <v>75</v>
      </c>
      <c r="U16" s="77">
        <f t="shared" si="9"/>
        <v>75</v>
      </c>
      <c r="V16" s="78">
        <f t="shared" si="2"/>
        <v>1050</v>
      </c>
      <c r="W16" s="137"/>
      <c r="X16" s="33" t="s">
        <v>25</v>
      </c>
      <c r="Y16" s="34">
        <f t="shared" si="4"/>
        <v>96600</v>
      </c>
      <c r="Z16" s="35">
        <f t="shared" si="5"/>
        <v>670833.33333333337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760125</v>
      </c>
      <c r="G17" s="83">
        <f>SUM(G9:G13)</f>
        <v>400000</v>
      </c>
      <c r="H17" s="84">
        <f t="shared" ref="H17:U17" si="10">SUM(H9:H16)</f>
        <v>526</v>
      </c>
      <c r="I17" s="84">
        <f t="shared" si="10"/>
        <v>526</v>
      </c>
      <c r="J17" s="84">
        <f t="shared" si="10"/>
        <v>526</v>
      </c>
      <c r="K17" s="84">
        <f t="shared" si="10"/>
        <v>526</v>
      </c>
      <c r="L17" s="84">
        <f t="shared" si="10"/>
        <v>526</v>
      </c>
      <c r="M17" s="84">
        <f t="shared" si="10"/>
        <v>526</v>
      </c>
      <c r="N17" s="84">
        <f t="shared" si="10"/>
        <v>526</v>
      </c>
      <c r="O17" s="84">
        <f t="shared" si="10"/>
        <v>526</v>
      </c>
      <c r="P17" s="84">
        <f t="shared" si="10"/>
        <v>526</v>
      </c>
      <c r="Q17" s="84">
        <f t="shared" si="10"/>
        <v>526</v>
      </c>
      <c r="R17" s="84">
        <f t="shared" si="10"/>
        <v>526</v>
      </c>
      <c r="S17" s="84">
        <f t="shared" si="10"/>
        <v>526</v>
      </c>
      <c r="T17" s="84">
        <f t="shared" si="10"/>
        <v>526</v>
      </c>
      <c r="U17" s="84">
        <f t="shared" si="10"/>
        <v>526</v>
      </c>
      <c r="V17" s="85">
        <f>SUM(V7:V16)</f>
        <v>7364</v>
      </c>
      <c r="W17" s="138">
        <f>SUM(W9:W16)</f>
        <v>401666.66666666663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40萬版-30秒版</vt:lpstr>
      <vt:lpstr>40萬版-20秒版</vt:lpstr>
      <vt:lpstr>40萬版-15秒版</vt:lpstr>
      <vt:lpstr>40萬版-10秒版 </vt:lpstr>
      <vt:lpstr>'40萬版-10秒版 '!Print_Area</vt:lpstr>
      <vt:lpstr>'40萬版-15秒版'!Print_Area</vt:lpstr>
      <vt:lpstr>'40萬版-20秒版'!Print_Area</vt:lpstr>
      <vt:lpstr>'40萬版-30秒版'!Print_Area</vt:lpstr>
      <vt:lpstr>'40萬版-10秒版 '!Print_Titles</vt:lpstr>
      <vt:lpstr>'40萬版-15秒版'!Print_Titles</vt:lpstr>
      <vt:lpstr>'40萬版-20秒版'!Print_Titles</vt:lpstr>
      <vt:lpstr>'40萬版-30秒版'!Print_Titles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2026-09-02T03:14:46Z</dcterms:modified>
</cp:coreProperties>
</file>