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ue表模版\"/>
    </mc:Choice>
  </mc:AlternateContent>
  <xr:revisionPtr revIDLastSave="0" documentId="8_{C7713057-41E1-493A-B3F5-2267169DC5AC}" xr6:coauthVersionLast="47" xr6:coauthVersionMax="47" xr10:uidLastSave="{00000000-0000-0000-0000-000000000000}"/>
  <bookViews>
    <workbookView xWindow="-93" yWindow="-93" windowWidth="25786" windowHeight="13866" xr2:uid="{C15CC39D-5B7C-4DC4-B67D-98AB579A3F5B}"/>
  </bookViews>
  <sheets>
    <sheet name="全家 30秒" sheetId="3" r:id="rId1"/>
    <sheet name="全家 20秒" sheetId="1" r:id="rId2"/>
    <sheet name="全家 15秒 " sheetId="4" r:id="rId3"/>
    <sheet name="全家 10秒" sheetId="2" r:id="rId4"/>
  </sheets>
  <externalReferences>
    <externalReference r:id="rId5"/>
  </externalReferences>
  <definedNames>
    <definedName name="_10_Fill_5" localSheetId="3">#REF!</definedName>
    <definedName name="_10_Fill_5" localSheetId="2">#REF!</definedName>
    <definedName name="_10_Fill_5" localSheetId="1">#REF!</definedName>
    <definedName name="_10_Fill_5" localSheetId="0">#REF!</definedName>
    <definedName name="_10_Fill_5">#REF!</definedName>
    <definedName name="_12_Fill_6" localSheetId="3">#REF!</definedName>
    <definedName name="_12_Fill_6" localSheetId="2">#REF!</definedName>
    <definedName name="_12_Fill_6" localSheetId="1">#REF!</definedName>
    <definedName name="_12_Fill_6" localSheetId="0">#REF!</definedName>
    <definedName name="_12_Fill_6">#REF!</definedName>
    <definedName name="_14Excel_BuiltIn_Criteria_1" localSheetId="3">#REF!</definedName>
    <definedName name="_14Excel_BuiltIn_Criteria_1" localSheetId="2">#REF!</definedName>
    <definedName name="_14Excel_BuiltIn_Criteria_1" localSheetId="1">#REF!</definedName>
    <definedName name="_14Excel_BuiltIn_Criteria_1" localSheetId="0">#REF!</definedName>
    <definedName name="_14Excel_BuiltIn_Criteria_1">#REF!</definedName>
    <definedName name="_16Excel_BuiltIn_Criteria_10" localSheetId="3">#REF!</definedName>
    <definedName name="_16Excel_BuiltIn_Criteria_10" localSheetId="2">#REF!</definedName>
    <definedName name="_16Excel_BuiltIn_Criteria_10" localSheetId="1">#REF!</definedName>
    <definedName name="_16Excel_BuiltIn_Criteria_10" localSheetId="0">#REF!</definedName>
    <definedName name="_16Excel_BuiltIn_Criteria_10">#REF!</definedName>
    <definedName name="_18Excel_BuiltIn_Criteria_11" localSheetId="3">#REF!</definedName>
    <definedName name="_18Excel_BuiltIn_Criteria_11" localSheetId="2">#REF!</definedName>
    <definedName name="_18Excel_BuiltIn_Criteria_11" localSheetId="1">#REF!</definedName>
    <definedName name="_18Excel_BuiltIn_Criteria_11" localSheetId="0">#REF!</definedName>
    <definedName name="_18Excel_BuiltIn_Criteria_11">#REF!</definedName>
    <definedName name="_2_Fill_1" localSheetId="3">#REF!</definedName>
    <definedName name="_2_Fill_1" localSheetId="2">#REF!</definedName>
    <definedName name="_2_Fill_1" localSheetId="1">#REF!</definedName>
    <definedName name="_2_Fill_1" localSheetId="0">#REF!</definedName>
    <definedName name="_2_Fill_1">#REF!</definedName>
    <definedName name="_20Excel_BuiltIn_Criteria_12" localSheetId="3">#REF!</definedName>
    <definedName name="_20Excel_BuiltIn_Criteria_12" localSheetId="2">#REF!</definedName>
    <definedName name="_20Excel_BuiltIn_Criteria_12" localSheetId="1">#REF!</definedName>
    <definedName name="_20Excel_BuiltIn_Criteria_12" localSheetId="0">#REF!</definedName>
    <definedName name="_20Excel_BuiltIn_Criteria_12">#REF!</definedName>
    <definedName name="_22Excel_BuiltIn_Criteria_13" localSheetId="3">#REF!</definedName>
    <definedName name="_22Excel_BuiltIn_Criteria_13" localSheetId="2">#REF!</definedName>
    <definedName name="_22Excel_BuiltIn_Criteria_13" localSheetId="1">#REF!</definedName>
    <definedName name="_22Excel_BuiltIn_Criteria_13" localSheetId="0">#REF!</definedName>
    <definedName name="_22Excel_BuiltIn_Criteria_13">#REF!</definedName>
    <definedName name="_24Excel_BuiltIn_Criteria_2" localSheetId="3">#REF!</definedName>
    <definedName name="_24Excel_BuiltIn_Criteria_2" localSheetId="2">#REF!</definedName>
    <definedName name="_24Excel_BuiltIn_Criteria_2" localSheetId="1">#REF!</definedName>
    <definedName name="_24Excel_BuiltIn_Criteria_2" localSheetId="0">#REF!</definedName>
    <definedName name="_24Excel_BuiltIn_Criteria_2">#REF!</definedName>
    <definedName name="_26Excel_BuiltIn_Criteria_3" localSheetId="3">#REF!</definedName>
    <definedName name="_26Excel_BuiltIn_Criteria_3" localSheetId="2">#REF!</definedName>
    <definedName name="_26Excel_BuiltIn_Criteria_3" localSheetId="1">#REF!</definedName>
    <definedName name="_26Excel_BuiltIn_Criteria_3" localSheetId="0">#REF!</definedName>
    <definedName name="_26Excel_BuiltIn_Criteria_3">#REF!</definedName>
    <definedName name="_28Excel_BuiltIn_Criteria_4" localSheetId="3">#REF!</definedName>
    <definedName name="_28Excel_BuiltIn_Criteria_4" localSheetId="2">#REF!</definedName>
    <definedName name="_28Excel_BuiltIn_Criteria_4" localSheetId="1">#REF!</definedName>
    <definedName name="_28Excel_BuiltIn_Criteria_4" localSheetId="0">#REF!</definedName>
    <definedName name="_28Excel_BuiltIn_Criteria_4">#REF!</definedName>
    <definedName name="_30Excel_BuiltIn_Criteria_5" localSheetId="3">#REF!</definedName>
    <definedName name="_30Excel_BuiltIn_Criteria_5" localSheetId="2">#REF!</definedName>
    <definedName name="_30Excel_BuiltIn_Criteria_5" localSheetId="1">#REF!</definedName>
    <definedName name="_30Excel_BuiltIn_Criteria_5" localSheetId="0">#REF!</definedName>
    <definedName name="_30Excel_BuiltIn_Criteria_5">#REF!</definedName>
    <definedName name="_32Excel_BuiltIn_Criteria_6" localSheetId="3">#REF!</definedName>
    <definedName name="_32Excel_BuiltIn_Criteria_6" localSheetId="2">#REF!</definedName>
    <definedName name="_32Excel_BuiltIn_Criteria_6" localSheetId="1">#REF!</definedName>
    <definedName name="_32Excel_BuiltIn_Criteria_6" localSheetId="0">#REF!</definedName>
    <definedName name="_32Excel_BuiltIn_Criteria_6">#REF!</definedName>
    <definedName name="_34Excel_BuiltIn_Criteria_7" localSheetId="3">#REF!</definedName>
    <definedName name="_34Excel_BuiltIn_Criteria_7" localSheetId="2">#REF!</definedName>
    <definedName name="_34Excel_BuiltIn_Criteria_7" localSheetId="1">#REF!</definedName>
    <definedName name="_34Excel_BuiltIn_Criteria_7" localSheetId="0">#REF!</definedName>
    <definedName name="_34Excel_BuiltIn_Criteria_7">#REF!</definedName>
    <definedName name="_36Excel_BuiltIn_Criteria_8" localSheetId="3">#REF!</definedName>
    <definedName name="_36Excel_BuiltIn_Criteria_8" localSheetId="2">#REF!</definedName>
    <definedName name="_36Excel_BuiltIn_Criteria_8" localSheetId="1">#REF!</definedName>
    <definedName name="_36Excel_BuiltIn_Criteria_8" localSheetId="0">#REF!</definedName>
    <definedName name="_36Excel_BuiltIn_Criteria_8">#REF!</definedName>
    <definedName name="_38Excel_BuiltIn_Criteria_9" localSheetId="3">#REF!</definedName>
    <definedName name="_38Excel_BuiltIn_Criteria_9" localSheetId="2">#REF!</definedName>
    <definedName name="_38Excel_BuiltIn_Criteria_9" localSheetId="1">#REF!</definedName>
    <definedName name="_38Excel_BuiltIn_Criteria_9" localSheetId="0">#REF!</definedName>
    <definedName name="_38Excel_BuiltIn_Criteria_9">#REF!</definedName>
    <definedName name="_4_Fill_2" localSheetId="3">#REF!</definedName>
    <definedName name="_4_Fill_2" localSheetId="2">#REF!</definedName>
    <definedName name="_4_Fill_2" localSheetId="1">#REF!</definedName>
    <definedName name="_4_Fill_2" localSheetId="0">#REF!</definedName>
    <definedName name="_4_Fill_2">#REF!</definedName>
    <definedName name="_6_Fill_3" localSheetId="3">#REF!</definedName>
    <definedName name="_6_Fill_3" localSheetId="2">#REF!</definedName>
    <definedName name="_6_Fill_3" localSheetId="1">#REF!</definedName>
    <definedName name="_6_Fill_3" localSheetId="0">#REF!</definedName>
    <definedName name="_6_Fill_3">#REF!</definedName>
    <definedName name="_8_Fill_4" localSheetId="3">#REF!</definedName>
    <definedName name="_8_Fill_4" localSheetId="2">#REF!</definedName>
    <definedName name="_8_Fill_4" localSheetId="1">#REF!</definedName>
    <definedName name="_8_Fill_4" localSheetId="0">#REF!</definedName>
    <definedName name="_8_Fill_4">#REF!</definedName>
    <definedName name="_Fill" localSheetId="3">#REF!</definedName>
    <definedName name="_Fill" localSheetId="2">#REF!</definedName>
    <definedName name="_Fill" localSheetId="1">#REF!</definedName>
    <definedName name="_Fill" localSheetId="0">#REF!</definedName>
    <definedName name="_Fill">#REF!</definedName>
    <definedName name="_xlnm.Criteria" localSheetId="3">#REF!</definedName>
    <definedName name="_xlnm.Criteria" localSheetId="2">#REF!</definedName>
    <definedName name="_xlnm.Criteria" localSheetId="1">#REF!</definedName>
    <definedName name="_xlnm.Criteria" localSheetId="0">#REF!</definedName>
    <definedName name="_xlnm.Criteria">#REF!</definedName>
    <definedName name="Excel_BuiltIn_Criteria" localSheetId="3">#REF!</definedName>
    <definedName name="Excel_BuiltIn_Criteria" localSheetId="2">#REF!</definedName>
    <definedName name="Excel_BuiltIn_Criteria" localSheetId="1">#REF!</definedName>
    <definedName name="Excel_BuiltIn_Criteria" localSheetId="0">#REF!</definedName>
    <definedName name="Excel_BuiltIn_Criteria">#REF!</definedName>
    <definedName name="_xlnm.Print_Area" localSheetId="3">'全家 10秒'!$A$1:$AC$24</definedName>
    <definedName name="_xlnm.Print_Area" localSheetId="2">'全家 15秒 '!$A$1:$AC$24</definedName>
    <definedName name="_xlnm.Print_Area" localSheetId="1">'全家 20秒'!$A$1:$AC$24</definedName>
    <definedName name="_xlnm.Print_Area" localSheetId="0">'全家 30秒'!$A$1:$AC$24</definedName>
    <definedName name="s" localSheetId="3">#REF!</definedName>
    <definedName name="s" localSheetId="2">#REF!</definedName>
    <definedName name="s" localSheetId="1">#REF!</definedName>
    <definedName name="s" localSheetId="0">#REF!</definedName>
    <definedName name="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4" l="1"/>
  <c r="D12" i="4"/>
  <c r="I14" i="4"/>
  <c r="J11" i="4"/>
  <c r="J14" i="4" s="1"/>
  <c r="K9" i="4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J9" i="4"/>
  <c r="D13" i="2"/>
  <c r="D12" i="2"/>
  <c r="D11" i="2"/>
  <c r="D13" i="3"/>
  <c r="D12" i="3"/>
  <c r="I14" i="3"/>
  <c r="J11" i="3"/>
  <c r="J14" i="3" s="1"/>
  <c r="J9" i="3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P14" i="2"/>
  <c r="O14" i="2"/>
  <c r="I14" i="2"/>
  <c r="P11" i="2"/>
  <c r="Q11" i="2" s="1"/>
  <c r="Q14" i="2" s="1"/>
  <c r="K11" i="2"/>
  <c r="K14" i="2" s="1"/>
  <c r="J11" i="2"/>
  <c r="J14" i="2" s="1"/>
  <c r="J9" i="2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P14" i="1"/>
  <c r="O14" i="1"/>
  <c r="I14" i="1"/>
  <c r="D13" i="1"/>
  <c r="D12" i="1"/>
  <c r="P11" i="1"/>
  <c r="Q11" i="1" s="1"/>
  <c r="J11" i="1"/>
  <c r="J14" i="1" s="1"/>
  <c r="J9" i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K11" i="4" l="1"/>
  <c r="L11" i="4" s="1"/>
  <c r="K14" i="4"/>
  <c r="K11" i="3"/>
  <c r="L11" i="3" s="1"/>
  <c r="L11" i="2"/>
  <c r="R11" i="2"/>
  <c r="Q14" i="1"/>
  <c r="R11" i="1"/>
  <c r="K11" i="1"/>
  <c r="L14" i="4" l="1"/>
  <c r="M11" i="4"/>
  <c r="K14" i="3"/>
  <c r="L14" i="3"/>
  <c r="M11" i="3"/>
  <c r="S11" i="2"/>
  <c r="R14" i="2"/>
  <c r="L14" i="2"/>
  <c r="M11" i="2"/>
  <c r="S11" i="1"/>
  <c r="R14" i="1"/>
  <c r="K14" i="1"/>
  <c r="L11" i="1"/>
  <c r="M14" i="4" l="1"/>
  <c r="N11" i="4"/>
  <c r="O11" i="4" s="1"/>
  <c r="M14" i="3"/>
  <c r="N11" i="3"/>
  <c r="M14" i="2"/>
  <c r="N11" i="2"/>
  <c r="T11" i="2"/>
  <c r="S14" i="2"/>
  <c r="L14" i="1"/>
  <c r="M11" i="1"/>
  <c r="T11" i="1"/>
  <c r="S14" i="1"/>
  <c r="O14" i="4" l="1"/>
  <c r="P11" i="4"/>
  <c r="N14" i="4"/>
  <c r="N14" i="3"/>
  <c r="O11" i="3"/>
  <c r="U11" i="2"/>
  <c r="T14" i="2"/>
  <c r="N14" i="2"/>
  <c r="U11" i="1"/>
  <c r="T14" i="1"/>
  <c r="M14" i="1"/>
  <c r="N11" i="1"/>
  <c r="N14" i="1" s="1"/>
  <c r="P14" i="4" l="1"/>
  <c r="Q11" i="4"/>
  <c r="P11" i="3"/>
  <c r="O14" i="3"/>
  <c r="V11" i="2"/>
  <c r="U14" i="2"/>
  <c r="U14" i="1"/>
  <c r="V11" i="1"/>
  <c r="R11" i="4" l="1"/>
  <c r="Q14" i="4"/>
  <c r="Q11" i="3"/>
  <c r="P14" i="3"/>
  <c r="W11" i="2"/>
  <c r="V14" i="2"/>
  <c r="V14" i="1"/>
  <c r="W11" i="1"/>
  <c r="S11" i="4" l="1"/>
  <c r="R14" i="4"/>
  <c r="Q14" i="3"/>
  <c r="R11" i="3"/>
  <c r="X11" i="2"/>
  <c r="W14" i="2"/>
  <c r="W14" i="1"/>
  <c r="X11" i="1"/>
  <c r="T11" i="4" l="1"/>
  <c r="S14" i="4"/>
  <c r="R14" i="3"/>
  <c r="S11" i="3"/>
  <c r="X14" i="2"/>
  <c r="Y11" i="2"/>
  <c r="Y11" i="1"/>
  <c r="X14" i="1"/>
  <c r="U11" i="4" l="1"/>
  <c r="T14" i="4"/>
  <c r="T11" i="3"/>
  <c r="S14" i="3"/>
  <c r="Z11" i="2"/>
  <c r="Y14" i="2"/>
  <c r="Y14" i="1"/>
  <c r="Z11" i="1"/>
  <c r="V11" i="4" l="1"/>
  <c r="U14" i="4"/>
  <c r="U11" i="3"/>
  <c r="T14" i="3"/>
  <c r="AA11" i="2"/>
  <c r="Z14" i="2"/>
  <c r="AA11" i="1"/>
  <c r="Z14" i="1"/>
  <c r="V14" i="4" l="1"/>
  <c r="W11" i="4"/>
  <c r="V11" i="3"/>
  <c r="U14" i="3"/>
  <c r="AA14" i="2"/>
  <c r="AB11" i="2"/>
  <c r="AA14" i="1"/>
  <c r="AB11" i="1"/>
  <c r="W14" i="4" l="1"/>
  <c r="W11" i="3"/>
  <c r="V14" i="3"/>
  <c r="AB14" i="2"/>
  <c r="AC11" i="2"/>
  <c r="AB14" i="1"/>
  <c r="AC11" i="1"/>
  <c r="Y11" i="4" l="1"/>
  <c r="X14" i="4"/>
  <c r="W14" i="3"/>
  <c r="X11" i="3"/>
  <c r="AC14" i="2"/>
  <c r="F11" i="2"/>
  <c r="AC14" i="1"/>
  <c r="F11" i="1"/>
  <c r="Y14" i="4" l="1"/>
  <c r="Z11" i="4"/>
  <c r="Y11" i="3"/>
  <c r="X14" i="3"/>
  <c r="G11" i="2"/>
  <c r="D14" i="2"/>
  <c r="F14" i="2"/>
  <c r="F14" i="1"/>
  <c r="G11" i="1"/>
  <c r="D11" i="1"/>
  <c r="D14" i="1" s="1"/>
  <c r="AA11" i="4" l="1"/>
  <c r="Z14" i="4"/>
  <c r="Z11" i="3"/>
  <c r="Y14" i="3"/>
  <c r="G17" i="2"/>
  <c r="G14" i="2"/>
  <c r="G17" i="1"/>
  <c r="G14" i="1"/>
  <c r="AA14" i="4" l="1"/>
  <c r="AB11" i="4"/>
  <c r="Z14" i="3"/>
  <c r="G18" i="2"/>
  <c r="G19" i="2" s="1"/>
  <c r="G20" i="2" s="1"/>
  <c r="G18" i="1"/>
  <c r="G19" i="1" s="1"/>
  <c r="G20" i="1" s="1"/>
  <c r="AB14" i="4" l="1"/>
  <c r="AC11" i="4"/>
  <c r="AC14" i="4" s="1"/>
  <c r="F11" i="4"/>
  <c r="AA14" i="3"/>
  <c r="AB11" i="3"/>
  <c r="D11" i="4" l="1"/>
  <c r="D14" i="4" s="1"/>
  <c r="G11" i="4"/>
  <c r="F14" i="4"/>
  <c r="AB14" i="3"/>
  <c r="AC11" i="3"/>
  <c r="G17" i="4" l="1"/>
  <c r="G18" i="4" s="1"/>
  <c r="G19" i="4" s="1"/>
  <c r="G20" i="4" s="1"/>
  <c r="G14" i="4"/>
  <c r="AC14" i="3"/>
  <c r="F11" i="3"/>
  <c r="D11" i="3" l="1"/>
  <c r="D14" i="3" s="1"/>
  <c r="G11" i="3"/>
  <c r="F14" i="3"/>
  <c r="G17" i="3" l="1"/>
  <c r="G14" i="3"/>
  <c r="G18" i="3" l="1"/>
  <c r="G19" i="3" s="1"/>
  <c r="G20" i="3" s="1"/>
</calcChain>
</file>

<file path=xl/sharedStrings.xml><?xml version="1.0" encoding="utf-8"?>
<sst xmlns="http://schemas.openxmlformats.org/spreadsheetml/2006/main" count="252" uniqueCount="56">
  <si>
    <t>Client</t>
    <phoneticPr fontId="5" type="noConversion"/>
  </si>
  <si>
    <t>統一企業統一陽光</t>
    <phoneticPr fontId="5" type="noConversion"/>
  </si>
  <si>
    <t>Media Agency</t>
    <phoneticPr fontId="5" type="noConversion"/>
  </si>
  <si>
    <t>2008傳媒行銷股份有限公司</t>
    <phoneticPr fontId="7" type="noConversion"/>
  </si>
  <si>
    <t>Advertising Agency</t>
    <phoneticPr fontId="5" type="noConversion"/>
  </si>
  <si>
    <t>Product</t>
    <phoneticPr fontId="5" type="noConversion"/>
  </si>
  <si>
    <t xml:space="preserve">統一企業 </t>
    <phoneticPr fontId="5" type="noConversion"/>
  </si>
  <si>
    <t>Campaign</t>
    <phoneticPr fontId="5" type="noConversion"/>
  </si>
  <si>
    <t>Period</t>
    <phoneticPr fontId="5" type="noConversion"/>
  </si>
  <si>
    <t>2026.06.08-2026.06.28</t>
    <phoneticPr fontId="7" type="noConversion"/>
  </si>
  <si>
    <t>媒體型態</t>
    <phoneticPr fontId="5" type="noConversion"/>
  </si>
  <si>
    <t>地區</t>
  </si>
  <si>
    <t>播出時段</t>
  </si>
  <si>
    <t>定價</t>
    <phoneticPr fontId="4" type="noConversion"/>
  </si>
  <si>
    <t>單位</t>
    <phoneticPr fontId="4" type="noConversion"/>
  </si>
  <si>
    <t>次數</t>
    <phoneticPr fontId="5" type="noConversion"/>
  </si>
  <si>
    <t>合計</t>
    <phoneticPr fontId="4" type="noConversion"/>
  </si>
  <si>
    <t>素材
提供時間</t>
    <phoneticPr fontId="4" type="noConversion"/>
  </si>
  <si>
    <t>JUN</t>
    <phoneticPr fontId="4" type="noConversion"/>
  </si>
  <si>
    <t>一</t>
  </si>
  <si>
    <t>二</t>
  </si>
  <si>
    <t>三</t>
  </si>
  <si>
    <t>四</t>
  </si>
  <si>
    <t>五</t>
  </si>
  <si>
    <t>六</t>
  </si>
  <si>
    <t>日</t>
  </si>
  <si>
    <t>全省【全家便利商店】
(企業頻道節目播放)</t>
    <phoneticPr fontId="11" type="noConversion"/>
  </si>
  <si>
    <t>全省</t>
    <phoneticPr fontId="5" type="noConversion"/>
  </si>
  <si>
    <t>07:00-23:00</t>
    <phoneticPr fontId="4" type="noConversion"/>
  </si>
  <si>
    <t>20秒</t>
    <phoneticPr fontId="5" type="noConversion"/>
  </si>
  <si>
    <t>6/1</t>
    <phoneticPr fontId="4" type="noConversion"/>
  </si>
  <si>
    <t>專案回饋</t>
    <phoneticPr fontId="4" type="noConversion"/>
  </si>
  <si>
    <t>108(走期內執行完畢)</t>
    <phoneticPr fontId="4" type="noConversion"/>
  </si>
  <si>
    <t>陽光-全家廣播</t>
  </si>
  <si>
    <t>執行走期:6/8-6/28</t>
  </si>
  <si>
    <t>每小時4檔約執行21天</t>
  </si>
  <si>
    <t>Budget (net)：</t>
    <phoneticPr fontId="5" type="noConversion"/>
  </si>
  <si>
    <t>秒數: 20秒</t>
  </si>
  <si>
    <t>AC %：</t>
    <phoneticPr fontId="7" type="noConversion"/>
  </si>
  <si>
    <t>預算: 25萬</t>
  </si>
  <si>
    <t>5% Tax ：</t>
    <phoneticPr fontId="7" type="noConversion"/>
  </si>
  <si>
    <t>TOTAL ：</t>
    <phoneticPr fontId="7" type="noConversion"/>
  </si>
  <si>
    <t>※以上各贈檔時段若已滿檔，則須更動時段</t>
    <phoneticPr fontId="4" type="noConversion"/>
  </si>
  <si>
    <t>※以上金額為目前之價格，往後若有調整，則以調整後價格計算</t>
    <phoneticPr fontId="5" type="noConversion"/>
  </si>
  <si>
    <t>※以上報價不包含錄音製作(不得指定特殊配音員或錄音室)</t>
    <phoneticPr fontId="5" type="noConversion"/>
  </si>
  <si>
    <t>※廣告素材至少需要播出日之7天前給予(週六.週日除外)，若無如期給予素材檔次會如期順延</t>
    <phoneticPr fontId="7" type="noConversion"/>
  </si>
  <si>
    <t>331(走期內執行完畢)</t>
    <phoneticPr fontId="4" type="noConversion"/>
  </si>
  <si>
    <t>10秒</t>
    <phoneticPr fontId="5" type="noConversion"/>
  </si>
  <si>
    <t>216(走期內執行完畢)</t>
    <phoneticPr fontId="4" type="noConversion"/>
  </si>
  <si>
    <t>662(走期內執行完畢)</t>
    <phoneticPr fontId="4" type="noConversion"/>
  </si>
  <si>
    <t>30秒</t>
    <phoneticPr fontId="5" type="noConversion"/>
  </si>
  <si>
    <t>72(走期內執行完畢)</t>
    <phoneticPr fontId="4" type="noConversion"/>
  </si>
  <si>
    <t>221(走期內執行完畢)</t>
    <phoneticPr fontId="4" type="noConversion"/>
  </si>
  <si>
    <t>15秒</t>
    <phoneticPr fontId="5" type="noConversion"/>
  </si>
  <si>
    <t>144(走期內執行完畢)</t>
    <phoneticPr fontId="4" type="noConversion"/>
  </si>
  <si>
    <t>442(走期內執行完畢)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</si>
</sst>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(&quot;$&quot;* #,##0_);_(&quot;$&quot;* \(#,##0\);_(&quot;$&quot;* &quot;-&quot;??_);_(@_)"/>
    <numFmt numFmtId="178" formatCode="0_ "/>
    <numFmt numFmtId="179" formatCode="0_);[Red]\(0\)"/>
    <numFmt numFmtId="180" formatCode="#,##0_ "/>
  </numFmts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22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Times New Roman"/>
      <family val="1"/>
    </font>
    <font>
      <sz val="9"/>
      <name val="細明體"/>
      <family val="3"/>
      <charset val="136"/>
    </font>
    <font>
      <sz val="22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20"/>
      <color indexed="8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22"/>
      <color rgb="FFFF0000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2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8"/>
      <name val="微軟正黑體"/>
      <family val="2"/>
      <charset val="136"/>
    </font>
    <font>
      <b/>
      <sz val="24"/>
      <name val="微軟正黑體"/>
      <family val="2"/>
      <charset val="136"/>
    </font>
    <font>
      <b/>
      <sz val="24"/>
      <color theme="1"/>
      <name val="微軟正黑體"/>
      <family val="2"/>
      <charset val="136"/>
    </font>
    <font>
      <b/>
      <sz val="20"/>
      <name val="微軟正黑體"/>
      <family val="2"/>
      <charset val="136"/>
    </font>
    <font>
      <sz val="20"/>
      <color theme="1"/>
      <name val="Calibri"/>
      <family val="2"/>
    </font>
    <font>
      <sz val="20"/>
      <color theme="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auto="1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indexed="64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auto="1"/>
      </left>
      <right style="hair">
        <color indexed="64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auto="1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176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" fillId="0" borderId="0"/>
  </cellStyleXfs>
  <cellXfs count="99">
    <xf numFmtId="0" fontId="0" fillId="0" borderId="0" xfId="0">
      <alignment vertical="center"/>
    </xf>
    <xf numFmtId="0" fontId="3" fillId="0" borderId="0" xfId="3" applyFont="1">
      <alignment vertical="center"/>
    </xf>
    <xf numFmtId="0" fontId="3" fillId="0" borderId="0" xfId="3" applyFont="1" applyAlignment="1">
      <alignment horizontal="left"/>
    </xf>
    <xf numFmtId="0" fontId="3" fillId="0" borderId="0" xfId="4" applyFont="1" applyAlignment="1">
      <alignment horizontal="left" vertical="center"/>
    </xf>
    <xf numFmtId="0" fontId="3" fillId="0" borderId="0" xfId="5" applyFont="1" applyAlignment="1">
      <alignment horizontal="center" vertical="center"/>
    </xf>
    <xf numFmtId="177" fontId="3" fillId="0" borderId="0" xfId="6" applyNumberFormat="1" applyFont="1" applyAlignment="1">
      <alignment horizontal="center" vertical="center"/>
    </xf>
    <xf numFmtId="38" fontId="3" fillId="0" borderId="0" xfId="7" applyNumberFormat="1" applyFont="1" applyFill="1" applyAlignment="1">
      <alignment horizontal="center" vertical="center"/>
    </xf>
    <xf numFmtId="0" fontId="3" fillId="0" borderId="0" xfId="5" applyFont="1" applyAlignment="1">
      <alignment vertical="center"/>
    </xf>
    <xf numFmtId="0" fontId="3" fillId="0" borderId="0" xfId="3" applyFont="1" applyAlignment="1"/>
    <xf numFmtId="0" fontId="3" fillId="0" borderId="0" xfId="4" applyFont="1" applyAlignment="1">
      <alignment vertical="center"/>
    </xf>
    <xf numFmtId="38" fontId="3" fillId="0" borderId="0" xfId="7" applyNumberFormat="1" applyFont="1" applyFill="1" applyBorder="1" applyAlignment="1">
      <alignment horizontal="center" vertical="center"/>
    </xf>
    <xf numFmtId="0" fontId="3" fillId="0" borderId="0" xfId="5" applyFont="1" applyAlignment="1">
      <alignment horizontal="center" vertical="center" wrapText="1"/>
    </xf>
    <xf numFmtId="0" fontId="3" fillId="0" borderId="0" xfId="5" applyFont="1" applyAlignment="1">
      <alignment horizontal="center" vertical="center" wrapText="1"/>
    </xf>
    <xf numFmtId="0" fontId="3" fillId="0" borderId="0" xfId="5" applyFont="1" applyAlignment="1">
      <alignment vertical="center" wrapText="1"/>
    </xf>
    <xf numFmtId="0" fontId="3" fillId="0" borderId="0" xfId="8" applyFont="1" applyAlignment="1">
      <alignment horizontal="center"/>
    </xf>
    <xf numFmtId="0" fontId="8" fillId="0" borderId="1" xfId="5" applyFont="1" applyBorder="1" applyAlignment="1">
      <alignment horizontal="center" vertical="center"/>
    </xf>
    <xf numFmtId="0" fontId="8" fillId="0" borderId="2" xfId="5" applyFont="1" applyBorder="1" applyAlignment="1">
      <alignment horizontal="center" vertical="center"/>
    </xf>
    <xf numFmtId="0" fontId="8" fillId="0" borderId="3" xfId="5" applyFont="1" applyBorder="1" applyAlignment="1">
      <alignment horizontal="center" vertical="center"/>
    </xf>
    <xf numFmtId="177" fontId="8" fillId="0" borderId="3" xfId="6" applyNumberFormat="1" applyFont="1" applyFill="1" applyBorder="1" applyAlignment="1">
      <alignment horizontal="center" vertical="center" wrapText="1"/>
    </xf>
    <xf numFmtId="0" fontId="8" fillId="0" borderId="3" xfId="5" applyFont="1" applyBorder="1" applyAlignment="1">
      <alignment horizontal="center" vertical="center" wrapText="1"/>
    </xf>
    <xf numFmtId="177" fontId="8" fillId="0" borderId="4" xfId="6" applyNumberFormat="1" applyFont="1" applyFill="1" applyBorder="1" applyAlignment="1">
      <alignment horizontal="center" vertical="center" wrapText="1"/>
    </xf>
    <xf numFmtId="178" fontId="3" fillId="2" borderId="5" xfId="9" applyNumberFormat="1" applyFont="1" applyFill="1" applyBorder="1" applyAlignment="1">
      <alignment horizontal="center" vertical="center"/>
    </xf>
    <xf numFmtId="178" fontId="3" fillId="2" borderId="5" xfId="9" applyNumberFormat="1" applyFont="1" applyFill="1" applyBorder="1" applyAlignment="1">
      <alignment vertical="center"/>
    </xf>
    <xf numFmtId="178" fontId="3" fillId="2" borderId="6" xfId="9" applyNumberFormat="1" applyFont="1" applyFill="1" applyBorder="1" applyAlignment="1">
      <alignment vertical="center"/>
    </xf>
    <xf numFmtId="0" fontId="9" fillId="0" borderId="0" xfId="5" applyFont="1" applyAlignment="1">
      <alignment horizontal="center" vertical="center"/>
    </xf>
    <xf numFmtId="0" fontId="8" fillId="0" borderId="7" xfId="5" applyFont="1" applyBorder="1" applyAlignment="1">
      <alignment horizontal="center" vertical="center"/>
    </xf>
    <xf numFmtId="0" fontId="8" fillId="0" borderId="8" xfId="5" applyFont="1" applyBorder="1" applyAlignment="1">
      <alignment horizontal="center" vertical="center"/>
    </xf>
    <xf numFmtId="0" fontId="8" fillId="0" borderId="9" xfId="5" applyFont="1" applyBorder="1" applyAlignment="1">
      <alignment horizontal="center" vertical="center"/>
    </xf>
    <xf numFmtId="177" fontId="8" fillId="0" borderId="9" xfId="6" applyNumberFormat="1" applyFont="1" applyFill="1" applyBorder="1" applyAlignment="1">
      <alignment horizontal="center" vertical="center" wrapText="1"/>
    </xf>
    <xf numFmtId="0" fontId="8" fillId="0" borderId="9" xfId="5" applyFont="1" applyBorder="1" applyAlignment="1">
      <alignment horizontal="center" vertical="center" wrapText="1"/>
    </xf>
    <xf numFmtId="177" fontId="8" fillId="0" borderId="10" xfId="6" applyNumberFormat="1" applyFont="1" applyFill="1" applyBorder="1" applyAlignment="1">
      <alignment horizontal="center" vertical="center"/>
    </xf>
    <xf numFmtId="179" fontId="10" fillId="2" borderId="11" xfId="9" quotePrefix="1" applyNumberFormat="1" applyFont="1" applyFill="1" applyBorder="1" applyAlignment="1">
      <alignment horizontal="center" vertical="center"/>
    </xf>
    <xf numFmtId="179" fontId="10" fillId="2" borderId="12" xfId="9" quotePrefix="1" applyNumberFormat="1" applyFont="1" applyFill="1" applyBorder="1" applyAlignment="1">
      <alignment horizontal="center" vertical="center"/>
    </xf>
    <xf numFmtId="179" fontId="10" fillId="2" borderId="13" xfId="9" quotePrefix="1" applyNumberFormat="1" applyFont="1" applyFill="1" applyBorder="1" applyAlignment="1">
      <alignment horizontal="center" vertical="center"/>
    </xf>
    <xf numFmtId="0" fontId="8" fillId="0" borderId="14" xfId="5" applyFont="1" applyBorder="1" applyAlignment="1">
      <alignment horizontal="center" vertical="center"/>
    </xf>
    <xf numFmtId="0" fontId="8" fillId="0" borderId="15" xfId="5" applyFont="1" applyBorder="1" applyAlignment="1">
      <alignment horizontal="center" vertical="center"/>
    </xf>
    <xf numFmtId="0" fontId="8" fillId="0" borderId="16" xfId="5" applyFont="1" applyBorder="1" applyAlignment="1">
      <alignment horizontal="center" vertical="center"/>
    </xf>
    <xf numFmtId="177" fontId="8" fillId="0" borderId="16" xfId="6" applyNumberFormat="1" applyFont="1" applyFill="1" applyBorder="1" applyAlignment="1">
      <alignment horizontal="center" vertical="center" wrapText="1"/>
    </xf>
    <xf numFmtId="0" fontId="8" fillId="0" borderId="16" xfId="5" applyFont="1" applyBorder="1" applyAlignment="1">
      <alignment horizontal="center" vertical="center" wrapText="1"/>
    </xf>
    <xf numFmtId="177" fontId="8" fillId="0" borderId="17" xfId="6" applyNumberFormat="1" applyFont="1" applyFill="1" applyBorder="1" applyAlignment="1">
      <alignment horizontal="center" vertical="center"/>
    </xf>
    <xf numFmtId="0" fontId="10" fillId="3" borderId="18" xfId="9" applyFont="1" applyFill="1" applyBorder="1" applyAlignment="1">
      <alignment horizontal="center" vertical="center"/>
    </xf>
    <xf numFmtId="0" fontId="10" fillId="0" borderId="18" xfId="9" applyFont="1" applyBorder="1" applyAlignment="1">
      <alignment horizontal="center" vertical="center"/>
    </xf>
    <xf numFmtId="0" fontId="10" fillId="4" borderId="18" xfId="9" applyFont="1" applyFill="1" applyBorder="1" applyAlignment="1">
      <alignment horizontal="center" vertical="center"/>
    </xf>
    <xf numFmtId="0" fontId="10" fillId="4" borderId="19" xfId="9" applyFont="1" applyFill="1" applyBorder="1" applyAlignment="1">
      <alignment horizontal="center" vertical="center"/>
    </xf>
    <xf numFmtId="0" fontId="8" fillId="0" borderId="7" xfId="5" applyFont="1" applyBorder="1" applyAlignment="1">
      <alignment horizontal="center" vertical="center" wrapText="1"/>
    </xf>
    <xf numFmtId="0" fontId="8" fillId="0" borderId="8" xfId="5" quotePrefix="1" applyFont="1" applyBorder="1" applyAlignment="1">
      <alignment horizontal="center" vertical="center"/>
    </xf>
    <xf numFmtId="0" fontId="8" fillId="2" borderId="9" xfId="10" quotePrefix="1" applyFont="1" applyFill="1" applyBorder="1" applyAlignment="1">
      <alignment horizontal="center" vertical="center" wrapText="1"/>
    </xf>
    <xf numFmtId="177" fontId="8" fillId="0" borderId="12" xfId="6" applyNumberFormat="1" applyFont="1" applyFill="1" applyBorder="1" applyAlignment="1">
      <alignment horizontal="center" vertical="center"/>
    </xf>
    <xf numFmtId="0" fontId="12" fillId="0" borderId="9" xfId="5" applyFont="1" applyBorder="1" applyAlignment="1">
      <alignment horizontal="center" vertical="center"/>
    </xf>
    <xf numFmtId="178" fontId="8" fillId="2" borderId="12" xfId="8" applyNumberFormat="1" applyFont="1" applyFill="1" applyBorder="1" applyAlignment="1">
      <alignment horizontal="center" vertical="center"/>
    </xf>
    <xf numFmtId="177" fontId="13" fillId="0" borderId="9" xfId="1" applyNumberFormat="1" applyFont="1" applyFill="1" applyBorder="1" applyAlignment="1">
      <alignment horizontal="center" vertical="center" wrapText="1"/>
    </xf>
    <xf numFmtId="49" fontId="8" fillId="0" borderId="10" xfId="11" applyNumberFormat="1" applyFont="1" applyBorder="1" applyAlignment="1">
      <alignment horizontal="center" vertical="center" wrapText="1"/>
    </xf>
    <xf numFmtId="178" fontId="13" fillId="0" borderId="11" xfId="12" applyNumberFormat="1" applyFont="1" applyBorder="1" applyAlignment="1">
      <alignment horizontal="center" vertical="center"/>
    </xf>
    <xf numFmtId="178" fontId="13" fillId="0" borderId="12" xfId="12" applyNumberFormat="1" applyFont="1" applyBorder="1" applyAlignment="1">
      <alignment horizontal="center" vertical="center"/>
    </xf>
    <xf numFmtId="178" fontId="13" fillId="0" borderId="13" xfId="12" applyNumberFormat="1" applyFont="1" applyBorder="1" applyAlignment="1">
      <alignment horizontal="center" vertical="center"/>
    </xf>
    <xf numFmtId="0" fontId="9" fillId="2" borderId="0" xfId="5" applyFont="1" applyFill="1" applyAlignment="1">
      <alignment horizontal="center" vertical="center"/>
    </xf>
    <xf numFmtId="178" fontId="8" fillId="2" borderId="9" xfId="8" applyNumberFormat="1" applyFont="1" applyFill="1" applyBorder="1" applyAlignment="1">
      <alignment horizontal="center" vertical="center"/>
    </xf>
    <xf numFmtId="177" fontId="12" fillId="0" borderId="20" xfId="1" applyNumberFormat="1" applyFont="1" applyFill="1" applyBorder="1" applyAlignment="1">
      <alignment horizontal="center" vertical="center" wrapText="1"/>
    </xf>
    <xf numFmtId="178" fontId="13" fillId="0" borderId="21" xfId="12" applyNumberFormat="1" applyFont="1" applyBorder="1" applyAlignment="1">
      <alignment horizontal="center" vertical="center"/>
    </xf>
    <xf numFmtId="178" fontId="13" fillId="0" borderId="22" xfId="12" applyNumberFormat="1" applyFont="1" applyBorder="1" applyAlignment="1">
      <alignment horizontal="center" vertical="center"/>
    </xf>
    <xf numFmtId="0" fontId="8" fillId="0" borderId="23" xfId="5" quotePrefix="1" applyFont="1" applyBorder="1" applyAlignment="1">
      <alignment horizontal="center" vertical="center"/>
    </xf>
    <xf numFmtId="0" fontId="8" fillId="2" borderId="24" xfId="10" quotePrefix="1" applyFont="1" applyFill="1" applyBorder="1" applyAlignment="1">
      <alignment horizontal="center" vertical="center" wrapText="1"/>
    </xf>
    <xf numFmtId="177" fontId="8" fillId="0" borderId="20" xfId="6" applyNumberFormat="1" applyFont="1" applyFill="1" applyBorder="1" applyAlignment="1">
      <alignment horizontal="center" vertical="center"/>
    </xf>
    <xf numFmtId="0" fontId="12" fillId="0" borderId="24" xfId="5" applyFont="1" applyBorder="1" applyAlignment="1">
      <alignment horizontal="center" vertical="center"/>
    </xf>
    <xf numFmtId="178" fontId="8" fillId="2" borderId="20" xfId="8" applyNumberFormat="1" applyFont="1" applyFill="1" applyBorder="1" applyAlignment="1">
      <alignment horizontal="center" vertical="center"/>
    </xf>
    <xf numFmtId="49" fontId="8" fillId="0" borderId="25" xfId="11" applyNumberFormat="1" applyFont="1" applyBorder="1" applyAlignment="1">
      <alignment horizontal="center" vertical="center" wrapText="1"/>
    </xf>
    <xf numFmtId="0" fontId="8" fillId="0" borderId="26" xfId="5" applyFont="1" applyBorder="1" applyAlignment="1">
      <alignment horizontal="center" vertical="center" wrapText="1"/>
    </xf>
    <xf numFmtId="0" fontId="8" fillId="0" borderId="27" xfId="5" applyFont="1" applyBorder="1" applyAlignment="1">
      <alignment horizontal="center" vertical="center" wrapText="1"/>
    </xf>
    <xf numFmtId="177" fontId="8" fillId="0" borderId="27" xfId="1" applyNumberFormat="1" applyFont="1" applyBorder="1" applyAlignment="1">
      <alignment horizontal="center" vertical="center"/>
    </xf>
    <xf numFmtId="180" fontId="8" fillId="0" borderId="27" xfId="8" applyNumberFormat="1" applyFont="1" applyBorder="1" applyAlignment="1">
      <alignment horizontal="center" vertical="center"/>
    </xf>
    <xf numFmtId="37" fontId="8" fillId="0" borderId="27" xfId="6" applyNumberFormat="1" applyFont="1" applyBorder="1" applyAlignment="1">
      <alignment horizontal="center" vertical="center"/>
    </xf>
    <xf numFmtId="177" fontId="8" fillId="0" borderId="27" xfId="6" applyNumberFormat="1" applyFont="1" applyBorder="1" applyAlignment="1">
      <alignment horizontal="center" vertical="center"/>
    </xf>
    <xf numFmtId="177" fontId="8" fillId="0" borderId="28" xfId="6" applyNumberFormat="1" applyFont="1" applyBorder="1" applyAlignment="1">
      <alignment horizontal="center" vertical="center"/>
    </xf>
    <xf numFmtId="38" fontId="3" fillId="0" borderId="29" xfId="5" applyNumberFormat="1" applyFont="1" applyBorder="1" applyAlignment="1">
      <alignment horizontal="center" vertical="center"/>
    </xf>
    <xf numFmtId="38" fontId="3" fillId="0" borderId="16" xfId="5" applyNumberFormat="1" applyFont="1" applyBorder="1" applyAlignment="1">
      <alignment horizontal="center" vertical="center"/>
    </xf>
    <xf numFmtId="38" fontId="3" fillId="0" borderId="30" xfId="5" applyNumberFormat="1" applyFont="1" applyBorder="1" applyAlignment="1">
      <alignment horizontal="center" vertical="center"/>
    </xf>
    <xf numFmtId="0" fontId="9" fillId="0" borderId="0" xfId="5" applyFont="1" applyAlignment="1">
      <alignment vertical="center"/>
    </xf>
    <xf numFmtId="38" fontId="9" fillId="0" borderId="0" xfId="7" applyNumberFormat="1" applyFont="1" applyAlignment="1">
      <alignment horizontal="center" vertical="center"/>
    </xf>
    <xf numFmtId="38" fontId="14" fillId="0" borderId="0" xfId="7" applyNumberFormat="1" applyFont="1" applyFill="1" applyBorder="1" applyAlignment="1">
      <alignment horizontal="center" vertical="center"/>
    </xf>
    <xf numFmtId="0" fontId="15" fillId="0" borderId="0" xfId="5" applyFont="1" applyAlignment="1">
      <alignment vertical="center"/>
    </xf>
    <xf numFmtId="38" fontId="14" fillId="0" borderId="0" xfId="7" applyNumberFormat="1" applyFont="1" applyFill="1" applyBorder="1" applyAlignment="1">
      <alignment horizontal="center" vertical="center"/>
    </xf>
    <xf numFmtId="38" fontId="16" fillId="0" borderId="0" xfId="7" applyNumberFormat="1" applyFont="1" applyAlignment="1">
      <alignment horizontal="center" vertical="center"/>
    </xf>
    <xf numFmtId="0" fontId="17" fillId="5" borderId="0" xfId="3" applyFont="1" applyFill="1" applyAlignment="1">
      <alignment horizontal="right" vertical="center"/>
    </xf>
    <xf numFmtId="0" fontId="17" fillId="5" borderId="31" xfId="3" applyFont="1" applyFill="1" applyBorder="1" applyAlignment="1">
      <alignment horizontal="right" vertical="center"/>
    </xf>
    <xf numFmtId="177" fontId="18" fillId="0" borderId="31" xfId="6" applyNumberFormat="1" applyFont="1" applyFill="1" applyBorder="1" applyAlignment="1">
      <alignment horizontal="center" vertical="center"/>
    </xf>
    <xf numFmtId="177" fontId="17" fillId="5" borderId="0" xfId="6" applyNumberFormat="1" applyFont="1" applyFill="1" applyBorder="1" applyAlignment="1">
      <alignment vertical="center"/>
    </xf>
    <xf numFmtId="10" fontId="14" fillId="0" borderId="0" xfId="2" applyNumberFormat="1" applyFont="1" applyFill="1" applyBorder="1" applyAlignment="1">
      <alignment horizontal="center" vertical="center"/>
    </xf>
    <xf numFmtId="0" fontId="17" fillId="5" borderId="32" xfId="3" applyFont="1" applyFill="1" applyBorder="1" applyAlignment="1">
      <alignment horizontal="right" vertical="center"/>
    </xf>
    <xf numFmtId="177" fontId="18" fillId="5" borderId="32" xfId="6" applyNumberFormat="1" applyFont="1" applyFill="1" applyBorder="1" applyAlignment="1">
      <alignment vertical="center"/>
    </xf>
    <xf numFmtId="38" fontId="3" fillId="0" borderId="0" xfId="13" applyNumberFormat="1" applyFont="1" applyAlignment="1">
      <alignment vertical="center"/>
    </xf>
    <xf numFmtId="177" fontId="17" fillId="5" borderId="32" xfId="6" applyNumberFormat="1" applyFont="1" applyFill="1" applyBorder="1" applyAlignment="1">
      <alignment vertical="center"/>
    </xf>
    <xf numFmtId="177" fontId="19" fillId="0" borderId="0" xfId="6" applyNumberFormat="1" applyFont="1" applyAlignment="1">
      <alignment horizontal="center" vertical="center"/>
    </xf>
    <xf numFmtId="38" fontId="9" fillId="0" borderId="0" xfId="7" applyNumberFormat="1" applyFont="1" applyFill="1" applyAlignment="1">
      <alignment horizontal="center" vertical="center"/>
    </xf>
    <xf numFmtId="0" fontId="20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9" fontId="9" fillId="0" borderId="0" xfId="2" applyFont="1" applyAlignment="1">
      <alignment horizontal="center" vertical="center"/>
    </xf>
    <xf numFmtId="38" fontId="15" fillId="0" borderId="0" xfId="7" applyNumberFormat="1" applyFont="1" applyAlignment="1">
      <alignment horizontal="center" vertical="center"/>
    </xf>
    <xf numFmtId="0" fontId="15" fillId="0" borderId="0" xfId="5" applyFont="1" applyAlignment="1">
      <alignment horizontal="center" vertical="center"/>
    </xf>
    <xf numFmtId="177" fontId="15" fillId="0" borderId="0" xfId="6" applyNumberFormat="1" applyFont="1" applyAlignment="1">
      <alignment horizontal="center" vertical="center"/>
    </xf>
  </cellXfs>
  <cellStyles count="14">
    <cellStyle name="一般" xfId="0" builtinId="0"/>
    <cellStyle name="一般 2 2" xfId="3" xr:uid="{E3B71ECB-32A6-429C-BFA5-18F9D0AB5C7C}"/>
    <cellStyle name="一般 3 3" xfId="4" xr:uid="{13A073E5-4C0E-4720-BB29-1C66D3F88914}"/>
    <cellStyle name="一般_1010220-新理想-新北郡-100萬-成本版" xfId="12" xr:uid="{677292C3-AD73-4976-B505-40EB4B68E2FE}"/>
    <cellStyle name="一般_8803-05RD_和泰汽車--中古車(2005.04月)_和泰汽車--中古車(2005.04月)_CANON數位相機(1004修改)_CANON數位相機(1004修改)_采威廣告0609" xfId="8" xr:uid="{D72AF994-A80E-432A-B553-593CE0463F79}"/>
    <cellStyle name="一般_8803-05RD_和泰汽車--中古車(2005.04月)_和泰汽車--中古車(2005.04月)_CANON數位相機(1004修改)_CANON數位相機(1004修改)_采威廣告0609_排期表-2009-0923" xfId="5" xr:uid="{14B48DF0-CA88-4E61-BDAD-8E1BBFD7C8F1}"/>
    <cellStyle name="一般_Cue_TV1" xfId="13" xr:uid="{D3205E56-FA73-4DA4-8FCD-383B42FAB61E}"/>
    <cellStyle name="一般_ICBC-新卡上市930701sales_980909光合廣告-伴月灣200萬成本版-1_980910光合廣告-伴月灣200萬成本版(修)_991216 喜年來成本版_991216 喜年來成本版" xfId="10" xr:uid="{A254DF5C-E258-4DC2-BD37-A02BCC4C1E56}"/>
    <cellStyle name="一般_ICBC-新卡上市930701sales_990806 保誠投信 (19萬未稅)成本版" xfId="9" xr:uid="{183213AF-00D5-46E2-BEB3-457D49075C81}"/>
    <cellStyle name="一般_春季展CUE_台北電腦應用展930607_聯禾團隊cue930913_970802甲山林0817-0916台北灣250 萬成本版_970902甲山林0917-1016台北灣150萬成本版_970902甲山林0917-1016台北灣150萬成本版_981005台北灣1012-1101 140萬成本版_990329(修)寶路-玉上園80萬成本版_990504 寶路-玉上園120萬成本版_990506 台北灣0529-0628成本版" xfId="11" xr:uid="{EE14F8DB-CDA1-41FC-8DB9-35B73C5AAC37}"/>
    <cellStyle name="千分位 2 4" xfId="7" xr:uid="{40B82DE5-B0EB-4D1E-B980-E3A1525F0189}"/>
    <cellStyle name="百分比" xfId="2" builtinId="5"/>
    <cellStyle name="貨幣" xfId="1" builtinId="4"/>
    <cellStyle name="貨幣_2008h40萬" xfId="6" xr:uid="{DB15F426-3BD5-4AFF-BA7A-0A19C90E9A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7A65E.6EE902E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7A65E.6EE902E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7A65E.6EE902E0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7A65E.6EE902E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140810</xdr:colOff>
      <xdr:row>0</xdr:row>
      <xdr:rowOff>395111</xdr:rowOff>
    </xdr:from>
    <xdr:to>
      <xdr:col>28</xdr:col>
      <xdr:colOff>474051</xdr:colOff>
      <xdr:row>4</xdr:row>
      <xdr:rowOff>56922</xdr:rowOff>
    </xdr:to>
    <xdr:pic>
      <xdr:nvPicPr>
        <xdr:cNvPr id="2" name="圖片 1" descr="cid:image001.png@01D7A65E.6EE902E0">
          <a:extLst>
            <a:ext uri="{FF2B5EF4-FFF2-40B4-BE49-F238E27FC236}">
              <a16:creationId xmlns:a16="http://schemas.microsoft.com/office/drawing/2014/main" id="{0B2C2A8A-1654-414E-9360-4656B8565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18910" y="395111"/>
          <a:ext cx="4058574" cy="1676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452437</xdr:colOff>
      <xdr:row>0</xdr:row>
      <xdr:rowOff>0</xdr:rowOff>
    </xdr:from>
    <xdr:to>
      <xdr:col>74</xdr:col>
      <xdr:colOff>377084</xdr:colOff>
      <xdr:row>23</xdr:row>
      <xdr:rowOff>142874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E0A1BDB-A7D3-45A9-9B58-9CE44F920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97104" y="0"/>
          <a:ext cx="25493980" cy="167671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140810</xdr:colOff>
      <xdr:row>0</xdr:row>
      <xdr:rowOff>395111</xdr:rowOff>
    </xdr:from>
    <xdr:to>
      <xdr:col>28</xdr:col>
      <xdr:colOff>474051</xdr:colOff>
      <xdr:row>4</xdr:row>
      <xdr:rowOff>56922</xdr:rowOff>
    </xdr:to>
    <xdr:pic>
      <xdr:nvPicPr>
        <xdr:cNvPr id="2" name="圖片 1" descr="cid:image001.png@01D7A65E.6EE902E0">
          <a:extLst>
            <a:ext uri="{FF2B5EF4-FFF2-40B4-BE49-F238E27FC236}">
              <a16:creationId xmlns:a16="http://schemas.microsoft.com/office/drawing/2014/main" id="{30059537-A869-4B30-A7E9-CD585881F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18910" y="395111"/>
          <a:ext cx="4058574" cy="1676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452437</xdr:colOff>
      <xdr:row>0</xdr:row>
      <xdr:rowOff>0</xdr:rowOff>
    </xdr:from>
    <xdr:to>
      <xdr:col>74</xdr:col>
      <xdr:colOff>377084</xdr:colOff>
      <xdr:row>23</xdr:row>
      <xdr:rowOff>142874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19236B6-0A03-4BC4-98C8-CEEEC53FD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97104" y="0"/>
          <a:ext cx="25493980" cy="167671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140810</xdr:colOff>
      <xdr:row>0</xdr:row>
      <xdr:rowOff>395111</xdr:rowOff>
    </xdr:from>
    <xdr:to>
      <xdr:col>28</xdr:col>
      <xdr:colOff>474051</xdr:colOff>
      <xdr:row>4</xdr:row>
      <xdr:rowOff>56922</xdr:rowOff>
    </xdr:to>
    <xdr:pic>
      <xdr:nvPicPr>
        <xdr:cNvPr id="2" name="圖片 1" descr="cid:image001.png@01D7A65E.6EE902E0">
          <a:extLst>
            <a:ext uri="{FF2B5EF4-FFF2-40B4-BE49-F238E27FC236}">
              <a16:creationId xmlns:a16="http://schemas.microsoft.com/office/drawing/2014/main" id="{56331EB3-FD78-49DE-96C6-537F4CE86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18910" y="395111"/>
          <a:ext cx="4058574" cy="1676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452437</xdr:colOff>
      <xdr:row>0</xdr:row>
      <xdr:rowOff>0</xdr:rowOff>
    </xdr:from>
    <xdr:to>
      <xdr:col>74</xdr:col>
      <xdr:colOff>377084</xdr:colOff>
      <xdr:row>23</xdr:row>
      <xdr:rowOff>142874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780B687-6B8D-4917-B981-BFC8E34C3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97104" y="0"/>
          <a:ext cx="25493980" cy="167671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140810</xdr:colOff>
      <xdr:row>0</xdr:row>
      <xdr:rowOff>395111</xdr:rowOff>
    </xdr:from>
    <xdr:to>
      <xdr:col>28</xdr:col>
      <xdr:colOff>474051</xdr:colOff>
      <xdr:row>4</xdr:row>
      <xdr:rowOff>56922</xdr:rowOff>
    </xdr:to>
    <xdr:pic>
      <xdr:nvPicPr>
        <xdr:cNvPr id="2" name="圖片 1" descr="cid:image001.png@01D7A65E.6EE902E0">
          <a:extLst>
            <a:ext uri="{FF2B5EF4-FFF2-40B4-BE49-F238E27FC236}">
              <a16:creationId xmlns:a16="http://schemas.microsoft.com/office/drawing/2014/main" id="{1BF9EEEB-815B-4BD1-9AE9-7F7F5D084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18910" y="395111"/>
          <a:ext cx="4058574" cy="1676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452437</xdr:colOff>
      <xdr:row>0</xdr:row>
      <xdr:rowOff>0</xdr:rowOff>
    </xdr:from>
    <xdr:to>
      <xdr:col>74</xdr:col>
      <xdr:colOff>377084</xdr:colOff>
      <xdr:row>23</xdr:row>
      <xdr:rowOff>142874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A31B888-1841-4BB3-98CC-92C659B88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97104" y="0"/>
          <a:ext cx="25493980" cy="167671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1150520-CUE%202008-2026&#24180;&#24230;&#32113;&#19968;&#38525;&#20809;-&#20840;&#23478;%200608-0628%20(2).xlsx" TargetMode="External"/><Relationship Id="rId2" Type="http://schemas.openxmlformats.org/officeDocument/2006/relationships/externalLinkPath" Target="file:///C:\Users\USER\Downloads\1150520-CUE%202008-2026&#24180;&#24230;&#32113;&#19968;&#38525;&#20809;-&#20840;&#23478;%200608-0628%20(2).xlsx" TargetMode="External"/><Relationship Id="rId1" Type="http://schemas.openxmlformats.org/officeDocument/2006/relationships/externalLinkPath" Target="/Users/USER/Downloads/1150520-CUE%202008-2026&#24180;&#24230;&#32113;&#19968;&#38525;&#20809;-&#20840;&#23478;%200608-0628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月全家-25萬-20秒-0608-0628"/>
      <sheetName val="2026年度 -200萬總表-0323異動"/>
      <sheetName val="3月家樂福-25萬-0304-0324"/>
      <sheetName val="2月家樂福-25萬-0206-0224"/>
      <sheetName val="1月家樂福-25萬-0121-0205"/>
      <sheetName val="2026年度 -200萬總表-0106"/>
      <sheetName val="工作表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0E95-5D13-4AD7-B084-B8668151B210}">
  <sheetPr>
    <tabColor rgb="FFFFFF00"/>
    <pageSetUpPr fitToPage="1"/>
  </sheetPr>
  <dimension ref="A1:AG28"/>
  <sheetViews>
    <sheetView showGridLines="0" tabSelected="1" view="pageBreakPreview" zoomScale="40" zoomScaleNormal="60" zoomScaleSheetLayoutView="40" workbookViewId="0">
      <selection activeCell="M11" sqref="M11"/>
    </sheetView>
  </sheetViews>
  <sheetFormatPr defaultColWidth="8.87890625" defaultRowHeight="15.7" x14ac:dyDescent="0.55000000000000004"/>
  <cols>
    <col min="1" max="1" width="43.87890625" style="97" customWidth="1"/>
    <col min="2" max="2" width="22" style="97" customWidth="1"/>
    <col min="3" max="3" width="38.76171875" style="97" customWidth="1"/>
    <col min="4" max="4" width="25.76171875" style="97" customWidth="1"/>
    <col min="5" max="5" width="23.1171875" style="97" customWidth="1"/>
    <col min="6" max="6" width="22.64453125" style="98" customWidth="1"/>
    <col min="7" max="7" width="30.64453125" style="98" customWidth="1"/>
    <col min="8" max="8" width="26.64453125" style="98" customWidth="1"/>
    <col min="9" max="29" width="10.3515625" style="96" customWidth="1"/>
    <col min="30" max="230" width="8.87890625" style="79"/>
    <col min="231" max="231" width="14.3515625" style="79" customWidth="1"/>
    <col min="232" max="232" width="21.87890625" style="79" customWidth="1"/>
    <col min="233" max="233" width="16" style="79" customWidth="1"/>
    <col min="234" max="234" width="54" style="79" customWidth="1"/>
    <col min="235" max="235" width="22.1171875" style="79" customWidth="1"/>
    <col min="236" max="236" width="21.46875" style="79" customWidth="1"/>
    <col min="237" max="237" width="17.87890625" style="79" customWidth="1"/>
    <col min="238" max="238" width="17" style="79" customWidth="1"/>
    <col min="239" max="240" width="28.1171875" style="79" customWidth="1"/>
    <col min="241" max="241" width="26.46875" style="79" customWidth="1"/>
    <col min="242" max="258" width="11.64453125" style="79" customWidth="1"/>
    <col min="259" max="259" width="16.3515625" style="79" customWidth="1"/>
    <col min="260" max="260" width="13.87890625" style="79" customWidth="1"/>
    <col min="261" max="264" width="11.64453125" style="79" customWidth="1"/>
    <col min="265" max="265" width="20.1171875" style="79" customWidth="1"/>
    <col min="266" max="267" width="2.64453125" style="79" customWidth="1"/>
    <col min="268" max="486" width="8.87890625" style="79"/>
    <col min="487" max="487" width="14.3515625" style="79" customWidth="1"/>
    <col min="488" max="488" width="21.87890625" style="79" customWidth="1"/>
    <col min="489" max="489" width="16" style="79" customWidth="1"/>
    <col min="490" max="490" width="54" style="79" customWidth="1"/>
    <col min="491" max="491" width="22.1171875" style="79" customWidth="1"/>
    <col min="492" max="492" width="21.46875" style="79" customWidth="1"/>
    <col min="493" max="493" width="17.87890625" style="79" customWidth="1"/>
    <col min="494" max="494" width="17" style="79" customWidth="1"/>
    <col min="495" max="496" width="28.1171875" style="79" customWidth="1"/>
    <col min="497" max="497" width="26.46875" style="79" customWidth="1"/>
    <col min="498" max="514" width="11.64453125" style="79" customWidth="1"/>
    <col min="515" max="515" width="16.3515625" style="79" customWidth="1"/>
    <col min="516" max="516" width="13.87890625" style="79" customWidth="1"/>
    <col min="517" max="520" width="11.64453125" style="79" customWidth="1"/>
    <col min="521" max="521" width="20.1171875" style="79" customWidth="1"/>
    <col min="522" max="523" width="2.64453125" style="79" customWidth="1"/>
    <col min="524" max="742" width="8.87890625" style="79"/>
    <col min="743" max="743" width="14.3515625" style="79" customWidth="1"/>
    <col min="744" max="744" width="21.87890625" style="79" customWidth="1"/>
    <col min="745" max="745" width="16" style="79" customWidth="1"/>
    <col min="746" max="746" width="54" style="79" customWidth="1"/>
    <col min="747" max="747" width="22.1171875" style="79" customWidth="1"/>
    <col min="748" max="748" width="21.46875" style="79" customWidth="1"/>
    <col min="749" max="749" width="17.87890625" style="79" customWidth="1"/>
    <col min="750" max="750" width="17" style="79" customWidth="1"/>
    <col min="751" max="752" width="28.1171875" style="79" customWidth="1"/>
    <col min="753" max="753" width="26.46875" style="79" customWidth="1"/>
    <col min="754" max="770" width="11.64453125" style="79" customWidth="1"/>
    <col min="771" max="771" width="16.3515625" style="79" customWidth="1"/>
    <col min="772" max="772" width="13.87890625" style="79" customWidth="1"/>
    <col min="773" max="776" width="11.64453125" style="79" customWidth="1"/>
    <col min="777" max="777" width="20.1171875" style="79" customWidth="1"/>
    <col min="778" max="779" width="2.64453125" style="79" customWidth="1"/>
    <col min="780" max="998" width="8.87890625" style="79"/>
    <col min="999" max="999" width="14.3515625" style="79" customWidth="1"/>
    <col min="1000" max="1000" width="21.87890625" style="79" customWidth="1"/>
    <col min="1001" max="1001" width="16" style="79" customWidth="1"/>
    <col min="1002" max="1002" width="54" style="79" customWidth="1"/>
    <col min="1003" max="1003" width="22.1171875" style="79" customWidth="1"/>
    <col min="1004" max="1004" width="21.46875" style="79" customWidth="1"/>
    <col min="1005" max="1005" width="17.87890625" style="79" customWidth="1"/>
    <col min="1006" max="1006" width="17" style="79" customWidth="1"/>
    <col min="1007" max="1008" width="28.1171875" style="79" customWidth="1"/>
    <col min="1009" max="1009" width="26.46875" style="79" customWidth="1"/>
    <col min="1010" max="1026" width="11.64453125" style="79" customWidth="1"/>
    <col min="1027" max="1027" width="16.3515625" style="79" customWidth="1"/>
    <col min="1028" max="1028" width="13.87890625" style="79" customWidth="1"/>
    <col min="1029" max="1032" width="11.64453125" style="79" customWidth="1"/>
    <col min="1033" max="1033" width="20.1171875" style="79" customWidth="1"/>
    <col min="1034" max="1035" width="2.64453125" style="79" customWidth="1"/>
    <col min="1036" max="1254" width="8.87890625" style="79"/>
    <col min="1255" max="1255" width="14.3515625" style="79" customWidth="1"/>
    <col min="1256" max="1256" width="21.87890625" style="79" customWidth="1"/>
    <col min="1257" max="1257" width="16" style="79" customWidth="1"/>
    <col min="1258" max="1258" width="54" style="79" customWidth="1"/>
    <col min="1259" max="1259" width="22.1171875" style="79" customWidth="1"/>
    <col min="1260" max="1260" width="21.46875" style="79" customWidth="1"/>
    <col min="1261" max="1261" width="17.87890625" style="79" customWidth="1"/>
    <col min="1262" max="1262" width="17" style="79" customWidth="1"/>
    <col min="1263" max="1264" width="28.1171875" style="79" customWidth="1"/>
    <col min="1265" max="1265" width="26.46875" style="79" customWidth="1"/>
    <col min="1266" max="1282" width="11.64453125" style="79" customWidth="1"/>
    <col min="1283" max="1283" width="16.3515625" style="79" customWidth="1"/>
    <col min="1284" max="1284" width="13.87890625" style="79" customWidth="1"/>
    <col min="1285" max="1288" width="11.64453125" style="79" customWidth="1"/>
    <col min="1289" max="1289" width="20.1171875" style="79" customWidth="1"/>
    <col min="1290" max="1291" width="2.64453125" style="79" customWidth="1"/>
    <col min="1292" max="1510" width="8.87890625" style="79"/>
    <col min="1511" max="1511" width="14.3515625" style="79" customWidth="1"/>
    <col min="1512" max="1512" width="21.87890625" style="79" customWidth="1"/>
    <col min="1513" max="1513" width="16" style="79" customWidth="1"/>
    <col min="1514" max="1514" width="54" style="79" customWidth="1"/>
    <col min="1515" max="1515" width="22.1171875" style="79" customWidth="1"/>
    <col min="1516" max="1516" width="21.46875" style="79" customWidth="1"/>
    <col min="1517" max="1517" width="17.87890625" style="79" customWidth="1"/>
    <col min="1518" max="1518" width="17" style="79" customWidth="1"/>
    <col min="1519" max="1520" width="28.1171875" style="79" customWidth="1"/>
    <col min="1521" max="1521" width="26.46875" style="79" customWidth="1"/>
    <col min="1522" max="1538" width="11.64453125" style="79" customWidth="1"/>
    <col min="1539" max="1539" width="16.3515625" style="79" customWidth="1"/>
    <col min="1540" max="1540" width="13.87890625" style="79" customWidth="1"/>
    <col min="1541" max="1544" width="11.64453125" style="79" customWidth="1"/>
    <col min="1545" max="1545" width="20.1171875" style="79" customWidth="1"/>
    <col min="1546" max="1547" width="2.64453125" style="79" customWidth="1"/>
    <col min="1548" max="1766" width="8.87890625" style="79"/>
    <col min="1767" max="1767" width="14.3515625" style="79" customWidth="1"/>
    <col min="1768" max="1768" width="21.87890625" style="79" customWidth="1"/>
    <col min="1769" max="1769" width="16" style="79" customWidth="1"/>
    <col min="1770" max="1770" width="54" style="79" customWidth="1"/>
    <col min="1771" max="1771" width="22.1171875" style="79" customWidth="1"/>
    <col min="1772" max="1772" width="21.46875" style="79" customWidth="1"/>
    <col min="1773" max="1773" width="17.87890625" style="79" customWidth="1"/>
    <col min="1774" max="1774" width="17" style="79" customWidth="1"/>
    <col min="1775" max="1776" width="28.1171875" style="79" customWidth="1"/>
    <col min="1777" max="1777" width="26.46875" style="79" customWidth="1"/>
    <col min="1778" max="1794" width="11.64453125" style="79" customWidth="1"/>
    <col min="1795" max="1795" width="16.3515625" style="79" customWidth="1"/>
    <col min="1796" max="1796" width="13.87890625" style="79" customWidth="1"/>
    <col min="1797" max="1800" width="11.64453125" style="79" customWidth="1"/>
    <col min="1801" max="1801" width="20.1171875" style="79" customWidth="1"/>
    <col min="1802" max="1803" width="2.64453125" style="79" customWidth="1"/>
    <col min="1804" max="2022" width="8.87890625" style="79"/>
    <col min="2023" max="2023" width="14.3515625" style="79" customWidth="1"/>
    <col min="2024" max="2024" width="21.87890625" style="79" customWidth="1"/>
    <col min="2025" max="2025" width="16" style="79" customWidth="1"/>
    <col min="2026" max="2026" width="54" style="79" customWidth="1"/>
    <col min="2027" max="2027" width="22.1171875" style="79" customWidth="1"/>
    <col min="2028" max="2028" width="21.46875" style="79" customWidth="1"/>
    <col min="2029" max="2029" width="17.87890625" style="79" customWidth="1"/>
    <col min="2030" max="2030" width="17" style="79" customWidth="1"/>
    <col min="2031" max="2032" width="28.1171875" style="79" customWidth="1"/>
    <col min="2033" max="2033" width="26.46875" style="79" customWidth="1"/>
    <col min="2034" max="2050" width="11.64453125" style="79" customWidth="1"/>
    <col min="2051" max="2051" width="16.3515625" style="79" customWidth="1"/>
    <col min="2052" max="2052" width="13.87890625" style="79" customWidth="1"/>
    <col min="2053" max="2056" width="11.64453125" style="79" customWidth="1"/>
    <col min="2057" max="2057" width="20.1171875" style="79" customWidth="1"/>
    <col min="2058" max="2059" width="2.64453125" style="79" customWidth="1"/>
    <col min="2060" max="2278" width="8.87890625" style="79"/>
    <col min="2279" max="2279" width="14.3515625" style="79" customWidth="1"/>
    <col min="2280" max="2280" width="21.87890625" style="79" customWidth="1"/>
    <col min="2281" max="2281" width="16" style="79" customWidth="1"/>
    <col min="2282" max="2282" width="54" style="79" customWidth="1"/>
    <col min="2283" max="2283" width="22.1171875" style="79" customWidth="1"/>
    <col min="2284" max="2284" width="21.46875" style="79" customWidth="1"/>
    <col min="2285" max="2285" width="17.87890625" style="79" customWidth="1"/>
    <col min="2286" max="2286" width="17" style="79" customWidth="1"/>
    <col min="2287" max="2288" width="28.1171875" style="79" customWidth="1"/>
    <col min="2289" max="2289" width="26.46875" style="79" customWidth="1"/>
    <col min="2290" max="2306" width="11.64453125" style="79" customWidth="1"/>
    <col min="2307" max="2307" width="16.3515625" style="79" customWidth="1"/>
    <col min="2308" max="2308" width="13.87890625" style="79" customWidth="1"/>
    <col min="2309" max="2312" width="11.64453125" style="79" customWidth="1"/>
    <col min="2313" max="2313" width="20.1171875" style="79" customWidth="1"/>
    <col min="2314" max="2315" width="2.64453125" style="79" customWidth="1"/>
    <col min="2316" max="2534" width="8.87890625" style="79"/>
    <col min="2535" max="2535" width="14.3515625" style="79" customWidth="1"/>
    <col min="2536" max="2536" width="21.87890625" style="79" customWidth="1"/>
    <col min="2537" max="2537" width="16" style="79" customWidth="1"/>
    <col min="2538" max="2538" width="54" style="79" customWidth="1"/>
    <col min="2539" max="2539" width="22.1171875" style="79" customWidth="1"/>
    <col min="2540" max="2540" width="21.46875" style="79" customWidth="1"/>
    <col min="2541" max="2541" width="17.87890625" style="79" customWidth="1"/>
    <col min="2542" max="2542" width="17" style="79" customWidth="1"/>
    <col min="2543" max="2544" width="28.1171875" style="79" customWidth="1"/>
    <col min="2545" max="2545" width="26.46875" style="79" customWidth="1"/>
    <col min="2546" max="2562" width="11.64453125" style="79" customWidth="1"/>
    <col min="2563" max="2563" width="16.3515625" style="79" customWidth="1"/>
    <col min="2564" max="2564" width="13.87890625" style="79" customWidth="1"/>
    <col min="2565" max="2568" width="11.64453125" style="79" customWidth="1"/>
    <col min="2569" max="2569" width="20.1171875" style="79" customWidth="1"/>
    <col min="2570" max="2571" width="2.64453125" style="79" customWidth="1"/>
    <col min="2572" max="2790" width="8.87890625" style="79"/>
    <col min="2791" max="2791" width="14.3515625" style="79" customWidth="1"/>
    <col min="2792" max="2792" width="21.87890625" style="79" customWidth="1"/>
    <col min="2793" max="2793" width="16" style="79" customWidth="1"/>
    <col min="2794" max="2794" width="54" style="79" customWidth="1"/>
    <col min="2795" max="2795" width="22.1171875" style="79" customWidth="1"/>
    <col min="2796" max="2796" width="21.46875" style="79" customWidth="1"/>
    <col min="2797" max="2797" width="17.87890625" style="79" customWidth="1"/>
    <col min="2798" max="2798" width="17" style="79" customWidth="1"/>
    <col min="2799" max="2800" width="28.1171875" style="79" customWidth="1"/>
    <col min="2801" max="2801" width="26.46875" style="79" customWidth="1"/>
    <col min="2802" max="2818" width="11.64453125" style="79" customWidth="1"/>
    <col min="2819" max="2819" width="16.3515625" style="79" customWidth="1"/>
    <col min="2820" max="2820" width="13.87890625" style="79" customWidth="1"/>
    <col min="2821" max="2824" width="11.64453125" style="79" customWidth="1"/>
    <col min="2825" max="2825" width="20.1171875" style="79" customWidth="1"/>
    <col min="2826" max="2827" width="2.64453125" style="79" customWidth="1"/>
    <col min="2828" max="3046" width="8.87890625" style="79"/>
    <col min="3047" max="3047" width="14.3515625" style="79" customWidth="1"/>
    <col min="3048" max="3048" width="21.87890625" style="79" customWidth="1"/>
    <col min="3049" max="3049" width="16" style="79" customWidth="1"/>
    <col min="3050" max="3050" width="54" style="79" customWidth="1"/>
    <col min="3051" max="3051" width="22.1171875" style="79" customWidth="1"/>
    <col min="3052" max="3052" width="21.46875" style="79" customWidth="1"/>
    <col min="3053" max="3053" width="17.87890625" style="79" customWidth="1"/>
    <col min="3054" max="3054" width="17" style="79" customWidth="1"/>
    <col min="3055" max="3056" width="28.1171875" style="79" customWidth="1"/>
    <col min="3057" max="3057" width="26.46875" style="79" customWidth="1"/>
    <col min="3058" max="3074" width="11.64453125" style="79" customWidth="1"/>
    <col min="3075" max="3075" width="16.3515625" style="79" customWidth="1"/>
    <col min="3076" max="3076" width="13.87890625" style="79" customWidth="1"/>
    <col min="3077" max="3080" width="11.64453125" style="79" customWidth="1"/>
    <col min="3081" max="3081" width="20.1171875" style="79" customWidth="1"/>
    <col min="3082" max="3083" width="2.64453125" style="79" customWidth="1"/>
    <col min="3084" max="3302" width="8.87890625" style="79"/>
    <col min="3303" max="3303" width="14.3515625" style="79" customWidth="1"/>
    <col min="3304" max="3304" width="21.87890625" style="79" customWidth="1"/>
    <col min="3305" max="3305" width="16" style="79" customWidth="1"/>
    <col min="3306" max="3306" width="54" style="79" customWidth="1"/>
    <col min="3307" max="3307" width="22.1171875" style="79" customWidth="1"/>
    <col min="3308" max="3308" width="21.46875" style="79" customWidth="1"/>
    <col min="3309" max="3309" width="17.87890625" style="79" customWidth="1"/>
    <col min="3310" max="3310" width="17" style="79" customWidth="1"/>
    <col min="3311" max="3312" width="28.1171875" style="79" customWidth="1"/>
    <col min="3313" max="3313" width="26.46875" style="79" customWidth="1"/>
    <col min="3314" max="3330" width="11.64453125" style="79" customWidth="1"/>
    <col min="3331" max="3331" width="16.3515625" style="79" customWidth="1"/>
    <col min="3332" max="3332" width="13.87890625" style="79" customWidth="1"/>
    <col min="3333" max="3336" width="11.64453125" style="79" customWidth="1"/>
    <col min="3337" max="3337" width="20.1171875" style="79" customWidth="1"/>
    <col min="3338" max="3339" width="2.64453125" style="79" customWidth="1"/>
    <col min="3340" max="3558" width="8.87890625" style="79"/>
    <col min="3559" max="3559" width="14.3515625" style="79" customWidth="1"/>
    <col min="3560" max="3560" width="21.87890625" style="79" customWidth="1"/>
    <col min="3561" max="3561" width="16" style="79" customWidth="1"/>
    <col min="3562" max="3562" width="54" style="79" customWidth="1"/>
    <col min="3563" max="3563" width="22.1171875" style="79" customWidth="1"/>
    <col min="3564" max="3564" width="21.46875" style="79" customWidth="1"/>
    <col min="3565" max="3565" width="17.87890625" style="79" customWidth="1"/>
    <col min="3566" max="3566" width="17" style="79" customWidth="1"/>
    <col min="3567" max="3568" width="28.1171875" style="79" customWidth="1"/>
    <col min="3569" max="3569" width="26.46875" style="79" customWidth="1"/>
    <col min="3570" max="3586" width="11.64453125" style="79" customWidth="1"/>
    <col min="3587" max="3587" width="16.3515625" style="79" customWidth="1"/>
    <col min="3588" max="3588" width="13.87890625" style="79" customWidth="1"/>
    <col min="3589" max="3592" width="11.64453125" style="79" customWidth="1"/>
    <col min="3593" max="3593" width="20.1171875" style="79" customWidth="1"/>
    <col min="3594" max="3595" width="2.64453125" style="79" customWidth="1"/>
    <col min="3596" max="3814" width="8.87890625" style="79"/>
    <col min="3815" max="3815" width="14.3515625" style="79" customWidth="1"/>
    <col min="3816" max="3816" width="21.87890625" style="79" customWidth="1"/>
    <col min="3817" max="3817" width="16" style="79" customWidth="1"/>
    <col min="3818" max="3818" width="54" style="79" customWidth="1"/>
    <col min="3819" max="3819" width="22.1171875" style="79" customWidth="1"/>
    <col min="3820" max="3820" width="21.46875" style="79" customWidth="1"/>
    <col min="3821" max="3821" width="17.87890625" style="79" customWidth="1"/>
    <col min="3822" max="3822" width="17" style="79" customWidth="1"/>
    <col min="3823" max="3824" width="28.1171875" style="79" customWidth="1"/>
    <col min="3825" max="3825" width="26.46875" style="79" customWidth="1"/>
    <col min="3826" max="3842" width="11.64453125" style="79" customWidth="1"/>
    <col min="3843" max="3843" width="16.3515625" style="79" customWidth="1"/>
    <col min="3844" max="3844" width="13.87890625" style="79" customWidth="1"/>
    <col min="3845" max="3848" width="11.64453125" style="79" customWidth="1"/>
    <col min="3849" max="3849" width="20.1171875" style="79" customWidth="1"/>
    <col min="3850" max="3851" width="2.64453125" style="79" customWidth="1"/>
    <col min="3852" max="4070" width="8.87890625" style="79"/>
    <col min="4071" max="4071" width="14.3515625" style="79" customWidth="1"/>
    <col min="4072" max="4072" width="21.87890625" style="79" customWidth="1"/>
    <col min="4073" max="4073" width="16" style="79" customWidth="1"/>
    <col min="4074" max="4074" width="54" style="79" customWidth="1"/>
    <col min="4075" max="4075" width="22.1171875" style="79" customWidth="1"/>
    <col min="4076" max="4076" width="21.46875" style="79" customWidth="1"/>
    <col min="4077" max="4077" width="17.87890625" style="79" customWidth="1"/>
    <col min="4078" max="4078" width="17" style="79" customWidth="1"/>
    <col min="4079" max="4080" width="28.1171875" style="79" customWidth="1"/>
    <col min="4081" max="4081" width="26.46875" style="79" customWidth="1"/>
    <col min="4082" max="4098" width="11.64453125" style="79" customWidth="1"/>
    <col min="4099" max="4099" width="16.3515625" style="79" customWidth="1"/>
    <col min="4100" max="4100" width="13.87890625" style="79" customWidth="1"/>
    <col min="4101" max="4104" width="11.64453125" style="79" customWidth="1"/>
    <col min="4105" max="4105" width="20.1171875" style="79" customWidth="1"/>
    <col min="4106" max="4107" width="2.64453125" style="79" customWidth="1"/>
    <col min="4108" max="4326" width="8.87890625" style="79"/>
    <col min="4327" max="4327" width="14.3515625" style="79" customWidth="1"/>
    <col min="4328" max="4328" width="21.87890625" style="79" customWidth="1"/>
    <col min="4329" max="4329" width="16" style="79" customWidth="1"/>
    <col min="4330" max="4330" width="54" style="79" customWidth="1"/>
    <col min="4331" max="4331" width="22.1171875" style="79" customWidth="1"/>
    <col min="4332" max="4332" width="21.46875" style="79" customWidth="1"/>
    <col min="4333" max="4333" width="17.87890625" style="79" customWidth="1"/>
    <col min="4334" max="4334" width="17" style="79" customWidth="1"/>
    <col min="4335" max="4336" width="28.1171875" style="79" customWidth="1"/>
    <col min="4337" max="4337" width="26.46875" style="79" customWidth="1"/>
    <col min="4338" max="4354" width="11.64453125" style="79" customWidth="1"/>
    <col min="4355" max="4355" width="16.3515625" style="79" customWidth="1"/>
    <col min="4356" max="4356" width="13.87890625" style="79" customWidth="1"/>
    <col min="4357" max="4360" width="11.64453125" style="79" customWidth="1"/>
    <col min="4361" max="4361" width="20.1171875" style="79" customWidth="1"/>
    <col min="4362" max="4363" width="2.64453125" style="79" customWidth="1"/>
    <col min="4364" max="4582" width="8.87890625" style="79"/>
    <col min="4583" max="4583" width="14.3515625" style="79" customWidth="1"/>
    <col min="4584" max="4584" width="21.87890625" style="79" customWidth="1"/>
    <col min="4585" max="4585" width="16" style="79" customWidth="1"/>
    <col min="4586" max="4586" width="54" style="79" customWidth="1"/>
    <col min="4587" max="4587" width="22.1171875" style="79" customWidth="1"/>
    <col min="4588" max="4588" width="21.46875" style="79" customWidth="1"/>
    <col min="4589" max="4589" width="17.87890625" style="79" customWidth="1"/>
    <col min="4590" max="4590" width="17" style="79" customWidth="1"/>
    <col min="4591" max="4592" width="28.1171875" style="79" customWidth="1"/>
    <col min="4593" max="4593" width="26.46875" style="79" customWidth="1"/>
    <col min="4594" max="4610" width="11.64453125" style="79" customWidth="1"/>
    <col min="4611" max="4611" width="16.3515625" style="79" customWidth="1"/>
    <col min="4612" max="4612" width="13.87890625" style="79" customWidth="1"/>
    <col min="4613" max="4616" width="11.64453125" style="79" customWidth="1"/>
    <col min="4617" max="4617" width="20.1171875" style="79" customWidth="1"/>
    <col min="4618" max="4619" width="2.64453125" style="79" customWidth="1"/>
    <col min="4620" max="4838" width="8.87890625" style="79"/>
    <col min="4839" max="4839" width="14.3515625" style="79" customWidth="1"/>
    <col min="4840" max="4840" width="21.87890625" style="79" customWidth="1"/>
    <col min="4841" max="4841" width="16" style="79" customWidth="1"/>
    <col min="4842" max="4842" width="54" style="79" customWidth="1"/>
    <col min="4843" max="4843" width="22.1171875" style="79" customWidth="1"/>
    <col min="4844" max="4844" width="21.46875" style="79" customWidth="1"/>
    <col min="4845" max="4845" width="17.87890625" style="79" customWidth="1"/>
    <col min="4846" max="4846" width="17" style="79" customWidth="1"/>
    <col min="4847" max="4848" width="28.1171875" style="79" customWidth="1"/>
    <col min="4849" max="4849" width="26.46875" style="79" customWidth="1"/>
    <col min="4850" max="4866" width="11.64453125" style="79" customWidth="1"/>
    <col min="4867" max="4867" width="16.3515625" style="79" customWidth="1"/>
    <col min="4868" max="4868" width="13.87890625" style="79" customWidth="1"/>
    <col min="4869" max="4872" width="11.64453125" style="79" customWidth="1"/>
    <col min="4873" max="4873" width="20.1171875" style="79" customWidth="1"/>
    <col min="4874" max="4875" width="2.64453125" style="79" customWidth="1"/>
    <col min="4876" max="5094" width="8.87890625" style="79"/>
    <col min="5095" max="5095" width="14.3515625" style="79" customWidth="1"/>
    <col min="5096" max="5096" width="21.87890625" style="79" customWidth="1"/>
    <col min="5097" max="5097" width="16" style="79" customWidth="1"/>
    <col min="5098" max="5098" width="54" style="79" customWidth="1"/>
    <col min="5099" max="5099" width="22.1171875" style="79" customWidth="1"/>
    <col min="5100" max="5100" width="21.46875" style="79" customWidth="1"/>
    <col min="5101" max="5101" width="17.87890625" style="79" customWidth="1"/>
    <col min="5102" max="5102" width="17" style="79" customWidth="1"/>
    <col min="5103" max="5104" width="28.1171875" style="79" customWidth="1"/>
    <col min="5105" max="5105" width="26.46875" style="79" customWidth="1"/>
    <col min="5106" max="5122" width="11.64453125" style="79" customWidth="1"/>
    <col min="5123" max="5123" width="16.3515625" style="79" customWidth="1"/>
    <col min="5124" max="5124" width="13.87890625" style="79" customWidth="1"/>
    <col min="5125" max="5128" width="11.64453125" style="79" customWidth="1"/>
    <col min="5129" max="5129" width="20.1171875" style="79" customWidth="1"/>
    <col min="5130" max="5131" width="2.64453125" style="79" customWidth="1"/>
    <col min="5132" max="5350" width="8.87890625" style="79"/>
    <col min="5351" max="5351" width="14.3515625" style="79" customWidth="1"/>
    <col min="5352" max="5352" width="21.87890625" style="79" customWidth="1"/>
    <col min="5353" max="5353" width="16" style="79" customWidth="1"/>
    <col min="5354" max="5354" width="54" style="79" customWidth="1"/>
    <col min="5355" max="5355" width="22.1171875" style="79" customWidth="1"/>
    <col min="5356" max="5356" width="21.46875" style="79" customWidth="1"/>
    <col min="5357" max="5357" width="17.87890625" style="79" customWidth="1"/>
    <col min="5358" max="5358" width="17" style="79" customWidth="1"/>
    <col min="5359" max="5360" width="28.1171875" style="79" customWidth="1"/>
    <col min="5361" max="5361" width="26.46875" style="79" customWidth="1"/>
    <col min="5362" max="5378" width="11.64453125" style="79" customWidth="1"/>
    <col min="5379" max="5379" width="16.3515625" style="79" customWidth="1"/>
    <col min="5380" max="5380" width="13.87890625" style="79" customWidth="1"/>
    <col min="5381" max="5384" width="11.64453125" style="79" customWidth="1"/>
    <col min="5385" max="5385" width="20.1171875" style="79" customWidth="1"/>
    <col min="5386" max="5387" width="2.64453125" style="79" customWidth="1"/>
    <col min="5388" max="5606" width="8.87890625" style="79"/>
    <col min="5607" max="5607" width="14.3515625" style="79" customWidth="1"/>
    <col min="5608" max="5608" width="21.87890625" style="79" customWidth="1"/>
    <col min="5609" max="5609" width="16" style="79" customWidth="1"/>
    <col min="5610" max="5610" width="54" style="79" customWidth="1"/>
    <col min="5611" max="5611" width="22.1171875" style="79" customWidth="1"/>
    <col min="5612" max="5612" width="21.46875" style="79" customWidth="1"/>
    <col min="5613" max="5613" width="17.87890625" style="79" customWidth="1"/>
    <col min="5614" max="5614" width="17" style="79" customWidth="1"/>
    <col min="5615" max="5616" width="28.1171875" style="79" customWidth="1"/>
    <col min="5617" max="5617" width="26.46875" style="79" customWidth="1"/>
    <col min="5618" max="5634" width="11.64453125" style="79" customWidth="1"/>
    <col min="5635" max="5635" width="16.3515625" style="79" customWidth="1"/>
    <col min="5636" max="5636" width="13.87890625" style="79" customWidth="1"/>
    <col min="5637" max="5640" width="11.64453125" style="79" customWidth="1"/>
    <col min="5641" max="5641" width="20.1171875" style="79" customWidth="1"/>
    <col min="5642" max="5643" width="2.64453125" style="79" customWidth="1"/>
    <col min="5644" max="5862" width="8.87890625" style="79"/>
    <col min="5863" max="5863" width="14.3515625" style="79" customWidth="1"/>
    <col min="5864" max="5864" width="21.87890625" style="79" customWidth="1"/>
    <col min="5865" max="5865" width="16" style="79" customWidth="1"/>
    <col min="5866" max="5866" width="54" style="79" customWidth="1"/>
    <col min="5867" max="5867" width="22.1171875" style="79" customWidth="1"/>
    <col min="5868" max="5868" width="21.46875" style="79" customWidth="1"/>
    <col min="5869" max="5869" width="17.87890625" style="79" customWidth="1"/>
    <col min="5870" max="5870" width="17" style="79" customWidth="1"/>
    <col min="5871" max="5872" width="28.1171875" style="79" customWidth="1"/>
    <col min="5873" max="5873" width="26.46875" style="79" customWidth="1"/>
    <col min="5874" max="5890" width="11.64453125" style="79" customWidth="1"/>
    <col min="5891" max="5891" width="16.3515625" style="79" customWidth="1"/>
    <col min="5892" max="5892" width="13.87890625" style="79" customWidth="1"/>
    <col min="5893" max="5896" width="11.64453125" style="79" customWidth="1"/>
    <col min="5897" max="5897" width="20.1171875" style="79" customWidth="1"/>
    <col min="5898" max="5899" width="2.64453125" style="79" customWidth="1"/>
    <col min="5900" max="6118" width="8.87890625" style="79"/>
    <col min="6119" max="6119" width="14.3515625" style="79" customWidth="1"/>
    <col min="6120" max="6120" width="21.87890625" style="79" customWidth="1"/>
    <col min="6121" max="6121" width="16" style="79" customWidth="1"/>
    <col min="6122" max="6122" width="54" style="79" customWidth="1"/>
    <col min="6123" max="6123" width="22.1171875" style="79" customWidth="1"/>
    <col min="6124" max="6124" width="21.46875" style="79" customWidth="1"/>
    <col min="6125" max="6125" width="17.87890625" style="79" customWidth="1"/>
    <col min="6126" max="6126" width="17" style="79" customWidth="1"/>
    <col min="6127" max="6128" width="28.1171875" style="79" customWidth="1"/>
    <col min="6129" max="6129" width="26.46875" style="79" customWidth="1"/>
    <col min="6130" max="6146" width="11.64453125" style="79" customWidth="1"/>
    <col min="6147" max="6147" width="16.3515625" style="79" customWidth="1"/>
    <col min="6148" max="6148" width="13.87890625" style="79" customWidth="1"/>
    <col min="6149" max="6152" width="11.64453125" style="79" customWidth="1"/>
    <col min="6153" max="6153" width="20.1171875" style="79" customWidth="1"/>
    <col min="6154" max="6155" width="2.64453125" style="79" customWidth="1"/>
    <col min="6156" max="6374" width="8.87890625" style="79"/>
    <col min="6375" max="6375" width="14.3515625" style="79" customWidth="1"/>
    <col min="6376" max="6376" width="21.87890625" style="79" customWidth="1"/>
    <col min="6377" max="6377" width="16" style="79" customWidth="1"/>
    <col min="6378" max="6378" width="54" style="79" customWidth="1"/>
    <col min="6379" max="6379" width="22.1171875" style="79" customWidth="1"/>
    <col min="6380" max="6380" width="21.46875" style="79" customWidth="1"/>
    <col min="6381" max="6381" width="17.87890625" style="79" customWidth="1"/>
    <col min="6382" max="6382" width="17" style="79" customWidth="1"/>
    <col min="6383" max="6384" width="28.1171875" style="79" customWidth="1"/>
    <col min="6385" max="6385" width="26.46875" style="79" customWidth="1"/>
    <col min="6386" max="6402" width="11.64453125" style="79" customWidth="1"/>
    <col min="6403" max="6403" width="16.3515625" style="79" customWidth="1"/>
    <col min="6404" max="6404" width="13.87890625" style="79" customWidth="1"/>
    <col min="6405" max="6408" width="11.64453125" style="79" customWidth="1"/>
    <col min="6409" max="6409" width="20.1171875" style="79" customWidth="1"/>
    <col min="6410" max="6411" width="2.64453125" style="79" customWidth="1"/>
    <col min="6412" max="6630" width="8.87890625" style="79"/>
    <col min="6631" max="6631" width="14.3515625" style="79" customWidth="1"/>
    <col min="6632" max="6632" width="21.87890625" style="79" customWidth="1"/>
    <col min="6633" max="6633" width="16" style="79" customWidth="1"/>
    <col min="6634" max="6634" width="54" style="79" customWidth="1"/>
    <col min="6635" max="6635" width="22.1171875" style="79" customWidth="1"/>
    <col min="6636" max="6636" width="21.46875" style="79" customWidth="1"/>
    <col min="6637" max="6637" width="17.87890625" style="79" customWidth="1"/>
    <col min="6638" max="6638" width="17" style="79" customWidth="1"/>
    <col min="6639" max="6640" width="28.1171875" style="79" customWidth="1"/>
    <col min="6641" max="6641" width="26.46875" style="79" customWidth="1"/>
    <col min="6642" max="6658" width="11.64453125" style="79" customWidth="1"/>
    <col min="6659" max="6659" width="16.3515625" style="79" customWidth="1"/>
    <col min="6660" max="6660" width="13.87890625" style="79" customWidth="1"/>
    <col min="6661" max="6664" width="11.64453125" style="79" customWidth="1"/>
    <col min="6665" max="6665" width="20.1171875" style="79" customWidth="1"/>
    <col min="6666" max="6667" width="2.64453125" style="79" customWidth="1"/>
    <col min="6668" max="6886" width="8.87890625" style="79"/>
    <col min="6887" max="6887" width="14.3515625" style="79" customWidth="1"/>
    <col min="6888" max="6888" width="21.87890625" style="79" customWidth="1"/>
    <col min="6889" max="6889" width="16" style="79" customWidth="1"/>
    <col min="6890" max="6890" width="54" style="79" customWidth="1"/>
    <col min="6891" max="6891" width="22.1171875" style="79" customWidth="1"/>
    <col min="6892" max="6892" width="21.46875" style="79" customWidth="1"/>
    <col min="6893" max="6893" width="17.87890625" style="79" customWidth="1"/>
    <col min="6894" max="6894" width="17" style="79" customWidth="1"/>
    <col min="6895" max="6896" width="28.1171875" style="79" customWidth="1"/>
    <col min="6897" max="6897" width="26.46875" style="79" customWidth="1"/>
    <col min="6898" max="6914" width="11.64453125" style="79" customWidth="1"/>
    <col min="6915" max="6915" width="16.3515625" style="79" customWidth="1"/>
    <col min="6916" max="6916" width="13.87890625" style="79" customWidth="1"/>
    <col min="6917" max="6920" width="11.64453125" style="79" customWidth="1"/>
    <col min="6921" max="6921" width="20.1171875" style="79" customWidth="1"/>
    <col min="6922" max="6923" width="2.64453125" style="79" customWidth="1"/>
    <col min="6924" max="7142" width="8.87890625" style="79"/>
    <col min="7143" max="7143" width="14.3515625" style="79" customWidth="1"/>
    <col min="7144" max="7144" width="21.87890625" style="79" customWidth="1"/>
    <col min="7145" max="7145" width="16" style="79" customWidth="1"/>
    <col min="7146" max="7146" width="54" style="79" customWidth="1"/>
    <col min="7147" max="7147" width="22.1171875" style="79" customWidth="1"/>
    <col min="7148" max="7148" width="21.46875" style="79" customWidth="1"/>
    <col min="7149" max="7149" width="17.87890625" style="79" customWidth="1"/>
    <col min="7150" max="7150" width="17" style="79" customWidth="1"/>
    <col min="7151" max="7152" width="28.1171875" style="79" customWidth="1"/>
    <col min="7153" max="7153" width="26.46875" style="79" customWidth="1"/>
    <col min="7154" max="7170" width="11.64453125" style="79" customWidth="1"/>
    <col min="7171" max="7171" width="16.3515625" style="79" customWidth="1"/>
    <col min="7172" max="7172" width="13.87890625" style="79" customWidth="1"/>
    <col min="7173" max="7176" width="11.64453125" style="79" customWidth="1"/>
    <col min="7177" max="7177" width="20.1171875" style="79" customWidth="1"/>
    <col min="7178" max="7179" width="2.64453125" style="79" customWidth="1"/>
    <col min="7180" max="7398" width="8.87890625" style="79"/>
    <col min="7399" max="7399" width="14.3515625" style="79" customWidth="1"/>
    <col min="7400" max="7400" width="21.87890625" style="79" customWidth="1"/>
    <col min="7401" max="7401" width="16" style="79" customWidth="1"/>
    <col min="7402" max="7402" width="54" style="79" customWidth="1"/>
    <col min="7403" max="7403" width="22.1171875" style="79" customWidth="1"/>
    <col min="7404" max="7404" width="21.46875" style="79" customWidth="1"/>
    <col min="7405" max="7405" width="17.87890625" style="79" customWidth="1"/>
    <col min="7406" max="7406" width="17" style="79" customWidth="1"/>
    <col min="7407" max="7408" width="28.1171875" style="79" customWidth="1"/>
    <col min="7409" max="7409" width="26.46875" style="79" customWidth="1"/>
    <col min="7410" max="7426" width="11.64453125" style="79" customWidth="1"/>
    <col min="7427" max="7427" width="16.3515625" style="79" customWidth="1"/>
    <col min="7428" max="7428" width="13.87890625" style="79" customWidth="1"/>
    <col min="7429" max="7432" width="11.64453125" style="79" customWidth="1"/>
    <col min="7433" max="7433" width="20.1171875" style="79" customWidth="1"/>
    <col min="7434" max="7435" width="2.64453125" style="79" customWidth="1"/>
    <col min="7436" max="7654" width="8.87890625" style="79"/>
    <col min="7655" max="7655" width="14.3515625" style="79" customWidth="1"/>
    <col min="7656" max="7656" width="21.87890625" style="79" customWidth="1"/>
    <col min="7657" max="7657" width="16" style="79" customWidth="1"/>
    <col min="7658" max="7658" width="54" style="79" customWidth="1"/>
    <col min="7659" max="7659" width="22.1171875" style="79" customWidth="1"/>
    <col min="7660" max="7660" width="21.46875" style="79" customWidth="1"/>
    <col min="7661" max="7661" width="17.87890625" style="79" customWidth="1"/>
    <col min="7662" max="7662" width="17" style="79" customWidth="1"/>
    <col min="7663" max="7664" width="28.1171875" style="79" customWidth="1"/>
    <col min="7665" max="7665" width="26.46875" style="79" customWidth="1"/>
    <col min="7666" max="7682" width="11.64453125" style="79" customWidth="1"/>
    <col min="7683" max="7683" width="16.3515625" style="79" customWidth="1"/>
    <col min="7684" max="7684" width="13.87890625" style="79" customWidth="1"/>
    <col min="7685" max="7688" width="11.64453125" style="79" customWidth="1"/>
    <col min="7689" max="7689" width="20.1171875" style="79" customWidth="1"/>
    <col min="7690" max="7691" width="2.64453125" style="79" customWidth="1"/>
    <col min="7692" max="7910" width="8.87890625" style="79"/>
    <col min="7911" max="7911" width="14.3515625" style="79" customWidth="1"/>
    <col min="7912" max="7912" width="21.87890625" style="79" customWidth="1"/>
    <col min="7913" max="7913" width="16" style="79" customWidth="1"/>
    <col min="7914" max="7914" width="54" style="79" customWidth="1"/>
    <col min="7915" max="7915" width="22.1171875" style="79" customWidth="1"/>
    <col min="7916" max="7916" width="21.46875" style="79" customWidth="1"/>
    <col min="7917" max="7917" width="17.87890625" style="79" customWidth="1"/>
    <col min="7918" max="7918" width="17" style="79" customWidth="1"/>
    <col min="7919" max="7920" width="28.1171875" style="79" customWidth="1"/>
    <col min="7921" max="7921" width="26.46875" style="79" customWidth="1"/>
    <col min="7922" max="7938" width="11.64453125" style="79" customWidth="1"/>
    <col min="7939" max="7939" width="16.3515625" style="79" customWidth="1"/>
    <col min="7940" max="7940" width="13.87890625" style="79" customWidth="1"/>
    <col min="7941" max="7944" width="11.64453125" style="79" customWidth="1"/>
    <col min="7945" max="7945" width="20.1171875" style="79" customWidth="1"/>
    <col min="7946" max="7947" width="2.64453125" style="79" customWidth="1"/>
    <col min="7948" max="8166" width="8.87890625" style="79"/>
    <col min="8167" max="8167" width="14.3515625" style="79" customWidth="1"/>
    <col min="8168" max="8168" width="21.87890625" style="79" customWidth="1"/>
    <col min="8169" max="8169" width="16" style="79" customWidth="1"/>
    <col min="8170" max="8170" width="54" style="79" customWidth="1"/>
    <col min="8171" max="8171" width="22.1171875" style="79" customWidth="1"/>
    <col min="8172" max="8172" width="21.46875" style="79" customWidth="1"/>
    <col min="8173" max="8173" width="17.87890625" style="79" customWidth="1"/>
    <col min="8174" max="8174" width="17" style="79" customWidth="1"/>
    <col min="8175" max="8176" width="28.1171875" style="79" customWidth="1"/>
    <col min="8177" max="8177" width="26.46875" style="79" customWidth="1"/>
    <col min="8178" max="8194" width="11.64453125" style="79" customWidth="1"/>
    <col min="8195" max="8195" width="16.3515625" style="79" customWidth="1"/>
    <col min="8196" max="8196" width="13.87890625" style="79" customWidth="1"/>
    <col min="8197" max="8200" width="11.64453125" style="79" customWidth="1"/>
    <col min="8201" max="8201" width="20.1171875" style="79" customWidth="1"/>
    <col min="8202" max="8203" width="2.64453125" style="79" customWidth="1"/>
    <col min="8204" max="8422" width="8.87890625" style="79"/>
    <col min="8423" max="8423" width="14.3515625" style="79" customWidth="1"/>
    <col min="8424" max="8424" width="21.87890625" style="79" customWidth="1"/>
    <col min="8425" max="8425" width="16" style="79" customWidth="1"/>
    <col min="8426" max="8426" width="54" style="79" customWidth="1"/>
    <col min="8427" max="8427" width="22.1171875" style="79" customWidth="1"/>
    <col min="8428" max="8428" width="21.46875" style="79" customWidth="1"/>
    <col min="8429" max="8429" width="17.87890625" style="79" customWidth="1"/>
    <col min="8430" max="8430" width="17" style="79" customWidth="1"/>
    <col min="8431" max="8432" width="28.1171875" style="79" customWidth="1"/>
    <col min="8433" max="8433" width="26.46875" style="79" customWidth="1"/>
    <col min="8434" max="8450" width="11.64453125" style="79" customWidth="1"/>
    <col min="8451" max="8451" width="16.3515625" style="79" customWidth="1"/>
    <col min="8452" max="8452" width="13.87890625" style="79" customWidth="1"/>
    <col min="8453" max="8456" width="11.64453125" style="79" customWidth="1"/>
    <col min="8457" max="8457" width="20.1171875" style="79" customWidth="1"/>
    <col min="8458" max="8459" width="2.64453125" style="79" customWidth="1"/>
    <col min="8460" max="8678" width="8.87890625" style="79"/>
    <col min="8679" max="8679" width="14.3515625" style="79" customWidth="1"/>
    <col min="8680" max="8680" width="21.87890625" style="79" customWidth="1"/>
    <col min="8681" max="8681" width="16" style="79" customWidth="1"/>
    <col min="8682" max="8682" width="54" style="79" customWidth="1"/>
    <col min="8683" max="8683" width="22.1171875" style="79" customWidth="1"/>
    <col min="8684" max="8684" width="21.46875" style="79" customWidth="1"/>
    <col min="8685" max="8685" width="17.87890625" style="79" customWidth="1"/>
    <col min="8686" max="8686" width="17" style="79" customWidth="1"/>
    <col min="8687" max="8688" width="28.1171875" style="79" customWidth="1"/>
    <col min="8689" max="8689" width="26.46875" style="79" customWidth="1"/>
    <col min="8690" max="8706" width="11.64453125" style="79" customWidth="1"/>
    <col min="8707" max="8707" width="16.3515625" style="79" customWidth="1"/>
    <col min="8708" max="8708" width="13.87890625" style="79" customWidth="1"/>
    <col min="8709" max="8712" width="11.64453125" style="79" customWidth="1"/>
    <col min="8713" max="8713" width="20.1171875" style="79" customWidth="1"/>
    <col min="8714" max="8715" width="2.64453125" style="79" customWidth="1"/>
    <col min="8716" max="8934" width="8.87890625" style="79"/>
    <col min="8935" max="8935" width="14.3515625" style="79" customWidth="1"/>
    <col min="8936" max="8936" width="21.87890625" style="79" customWidth="1"/>
    <col min="8937" max="8937" width="16" style="79" customWidth="1"/>
    <col min="8938" max="8938" width="54" style="79" customWidth="1"/>
    <col min="8939" max="8939" width="22.1171875" style="79" customWidth="1"/>
    <col min="8940" max="8940" width="21.46875" style="79" customWidth="1"/>
    <col min="8941" max="8941" width="17.87890625" style="79" customWidth="1"/>
    <col min="8942" max="8942" width="17" style="79" customWidth="1"/>
    <col min="8943" max="8944" width="28.1171875" style="79" customWidth="1"/>
    <col min="8945" max="8945" width="26.46875" style="79" customWidth="1"/>
    <col min="8946" max="8962" width="11.64453125" style="79" customWidth="1"/>
    <col min="8963" max="8963" width="16.3515625" style="79" customWidth="1"/>
    <col min="8964" max="8964" width="13.87890625" style="79" customWidth="1"/>
    <col min="8965" max="8968" width="11.64453125" style="79" customWidth="1"/>
    <col min="8969" max="8969" width="20.1171875" style="79" customWidth="1"/>
    <col min="8970" max="8971" width="2.64453125" style="79" customWidth="1"/>
    <col min="8972" max="9190" width="8.87890625" style="79"/>
    <col min="9191" max="9191" width="14.3515625" style="79" customWidth="1"/>
    <col min="9192" max="9192" width="21.87890625" style="79" customWidth="1"/>
    <col min="9193" max="9193" width="16" style="79" customWidth="1"/>
    <col min="9194" max="9194" width="54" style="79" customWidth="1"/>
    <col min="9195" max="9195" width="22.1171875" style="79" customWidth="1"/>
    <col min="9196" max="9196" width="21.46875" style="79" customWidth="1"/>
    <col min="9197" max="9197" width="17.87890625" style="79" customWidth="1"/>
    <col min="9198" max="9198" width="17" style="79" customWidth="1"/>
    <col min="9199" max="9200" width="28.1171875" style="79" customWidth="1"/>
    <col min="9201" max="9201" width="26.46875" style="79" customWidth="1"/>
    <col min="9202" max="9218" width="11.64453125" style="79" customWidth="1"/>
    <col min="9219" max="9219" width="16.3515625" style="79" customWidth="1"/>
    <col min="9220" max="9220" width="13.87890625" style="79" customWidth="1"/>
    <col min="9221" max="9224" width="11.64453125" style="79" customWidth="1"/>
    <col min="9225" max="9225" width="20.1171875" style="79" customWidth="1"/>
    <col min="9226" max="9227" width="2.64453125" style="79" customWidth="1"/>
    <col min="9228" max="9446" width="8.87890625" style="79"/>
    <col min="9447" max="9447" width="14.3515625" style="79" customWidth="1"/>
    <col min="9448" max="9448" width="21.87890625" style="79" customWidth="1"/>
    <col min="9449" max="9449" width="16" style="79" customWidth="1"/>
    <col min="9450" max="9450" width="54" style="79" customWidth="1"/>
    <col min="9451" max="9451" width="22.1171875" style="79" customWidth="1"/>
    <col min="9452" max="9452" width="21.46875" style="79" customWidth="1"/>
    <col min="9453" max="9453" width="17.87890625" style="79" customWidth="1"/>
    <col min="9454" max="9454" width="17" style="79" customWidth="1"/>
    <col min="9455" max="9456" width="28.1171875" style="79" customWidth="1"/>
    <col min="9457" max="9457" width="26.46875" style="79" customWidth="1"/>
    <col min="9458" max="9474" width="11.64453125" style="79" customWidth="1"/>
    <col min="9475" max="9475" width="16.3515625" style="79" customWidth="1"/>
    <col min="9476" max="9476" width="13.87890625" style="79" customWidth="1"/>
    <col min="9477" max="9480" width="11.64453125" style="79" customWidth="1"/>
    <col min="9481" max="9481" width="20.1171875" style="79" customWidth="1"/>
    <col min="9482" max="9483" width="2.64453125" style="79" customWidth="1"/>
    <col min="9484" max="9702" width="8.87890625" style="79"/>
    <col min="9703" max="9703" width="14.3515625" style="79" customWidth="1"/>
    <col min="9704" max="9704" width="21.87890625" style="79" customWidth="1"/>
    <col min="9705" max="9705" width="16" style="79" customWidth="1"/>
    <col min="9706" max="9706" width="54" style="79" customWidth="1"/>
    <col min="9707" max="9707" width="22.1171875" style="79" customWidth="1"/>
    <col min="9708" max="9708" width="21.46875" style="79" customWidth="1"/>
    <col min="9709" max="9709" width="17.87890625" style="79" customWidth="1"/>
    <col min="9710" max="9710" width="17" style="79" customWidth="1"/>
    <col min="9711" max="9712" width="28.1171875" style="79" customWidth="1"/>
    <col min="9713" max="9713" width="26.46875" style="79" customWidth="1"/>
    <col min="9714" max="9730" width="11.64453125" style="79" customWidth="1"/>
    <col min="9731" max="9731" width="16.3515625" style="79" customWidth="1"/>
    <col min="9732" max="9732" width="13.87890625" style="79" customWidth="1"/>
    <col min="9733" max="9736" width="11.64453125" style="79" customWidth="1"/>
    <col min="9737" max="9737" width="20.1171875" style="79" customWidth="1"/>
    <col min="9738" max="9739" width="2.64453125" style="79" customWidth="1"/>
    <col min="9740" max="9958" width="8.87890625" style="79"/>
    <col min="9959" max="9959" width="14.3515625" style="79" customWidth="1"/>
    <col min="9960" max="9960" width="21.87890625" style="79" customWidth="1"/>
    <col min="9961" max="9961" width="16" style="79" customWidth="1"/>
    <col min="9962" max="9962" width="54" style="79" customWidth="1"/>
    <col min="9963" max="9963" width="22.1171875" style="79" customWidth="1"/>
    <col min="9964" max="9964" width="21.46875" style="79" customWidth="1"/>
    <col min="9965" max="9965" width="17.87890625" style="79" customWidth="1"/>
    <col min="9966" max="9966" width="17" style="79" customWidth="1"/>
    <col min="9967" max="9968" width="28.1171875" style="79" customWidth="1"/>
    <col min="9969" max="9969" width="26.46875" style="79" customWidth="1"/>
    <col min="9970" max="9986" width="11.64453125" style="79" customWidth="1"/>
    <col min="9987" max="9987" width="16.3515625" style="79" customWidth="1"/>
    <col min="9988" max="9988" width="13.87890625" style="79" customWidth="1"/>
    <col min="9989" max="9992" width="11.64453125" style="79" customWidth="1"/>
    <col min="9993" max="9993" width="20.1171875" style="79" customWidth="1"/>
    <col min="9994" max="9995" width="2.64453125" style="79" customWidth="1"/>
    <col min="9996" max="10214" width="8.87890625" style="79"/>
    <col min="10215" max="10215" width="14.3515625" style="79" customWidth="1"/>
    <col min="10216" max="10216" width="21.87890625" style="79" customWidth="1"/>
    <col min="10217" max="10217" width="16" style="79" customWidth="1"/>
    <col min="10218" max="10218" width="54" style="79" customWidth="1"/>
    <col min="10219" max="10219" width="22.1171875" style="79" customWidth="1"/>
    <col min="10220" max="10220" width="21.46875" style="79" customWidth="1"/>
    <col min="10221" max="10221" width="17.87890625" style="79" customWidth="1"/>
    <col min="10222" max="10222" width="17" style="79" customWidth="1"/>
    <col min="10223" max="10224" width="28.1171875" style="79" customWidth="1"/>
    <col min="10225" max="10225" width="26.46875" style="79" customWidth="1"/>
    <col min="10226" max="10242" width="11.64453125" style="79" customWidth="1"/>
    <col min="10243" max="10243" width="16.3515625" style="79" customWidth="1"/>
    <col min="10244" max="10244" width="13.87890625" style="79" customWidth="1"/>
    <col min="10245" max="10248" width="11.64453125" style="79" customWidth="1"/>
    <col min="10249" max="10249" width="20.1171875" style="79" customWidth="1"/>
    <col min="10250" max="10251" width="2.64453125" style="79" customWidth="1"/>
    <col min="10252" max="10470" width="8.87890625" style="79"/>
    <col min="10471" max="10471" width="14.3515625" style="79" customWidth="1"/>
    <col min="10472" max="10472" width="21.87890625" style="79" customWidth="1"/>
    <col min="10473" max="10473" width="16" style="79" customWidth="1"/>
    <col min="10474" max="10474" width="54" style="79" customWidth="1"/>
    <col min="10475" max="10475" width="22.1171875" style="79" customWidth="1"/>
    <col min="10476" max="10476" width="21.46875" style="79" customWidth="1"/>
    <col min="10477" max="10477" width="17.87890625" style="79" customWidth="1"/>
    <col min="10478" max="10478" width="17" style="79" customWidth="1"/>
    <col min="10479" max="10480" width="28.1171875" style="79" customWidth="1"/>
    <col min="10481" max="10481" width="26.46875" style="79" customWidth="1"/>
    <col min="10482" max="10498" width="11.64453125" style="79" customWidth="1"/>
    <col min="10499" max="10499" width="16.3515625" style="79" customWidth="1"/>
    <col min="10500" max="10500" width="13.87890625" style="79" customWidth="1"/>
    <col min="10501" max="10504" width="11.64453125" style="79" customWidth="1"/>
    <col min="10505" max="10505" width="20.1171875" style="79" customWidth="1"/>
    <col min="10506" max="10507" width="2.64453125" style="79" customWidth="1"/>
    <col min="10508" max="10726" width="8.87890625" style="79"/>
    <col min="10727" max="10727" width="14.3515625" style="79" customWidth="1"/>
    <col min="10728" max="10728" width="21.87890625" style="79" customWidth="1"/>
    <col min="10729" max="10729" width="16" style="79" customWidth="1"/>
    <col min="10730" max="10730" width="54" style="79" customWidth="1"/>
    <col min="10731" max="10731" width="22.1171875" style="79" customWidth="1"/>
    <col min="10732" max="10732" width="21.46875" style="79" customWidth="1"/>
    <col min="10733" max="10733" width="17.87890625" style="79" customWidth="1"/>
    <col min="10734" max="10734" width="17" style="79" customWidth="1"/>
    <col min="10735" max="10736" width="28.1171875" style="79" customWidth="1"/>
    <col min="10737" max="10737" width="26.46875" style="79" customWidth="1"/>
    <col min="10738" max="10754" width="11.64453125" style="79" customWidth="1"/>
    <col min="10755" max="10755" width="16.3515625" style="79" customWidth="1"/>
    <col min="10756" max="10756" width="13.87890625" style="79" customWidth="1"/>
    <col min="10757" max="10760" width="11.64453125" style="79" customWidth="1"/>
    <col min="10761" max="10761" width="20.1171875" style="79" customWidth="1"/>
    <col min="10762" max="10763" width="2.64453125" style="79" customWidth="1"/>
    <col min="10764" max="10982" width="8.87890625" style="79"/>
    <col min="10983" max="10983" width="14.3515625" style="79" customWidth="1"/>
    <col min="10984" max="10984" width="21.87890625" style="79" customWidth="1"/>
    <col min="10985" max="10985" width="16" style="79" customWidth="1"/>
    <col min="10986" max="10986" width="54" style="79" customWidth="1"/>
    <col min="10987" max="10987" width="22.1171875" style="79" customWidth="1"/>
    <col min="10988" max="10988" width="21.46875" style="79" customWidth="1"/>
    <col min="10989" max="10989" width="17.87890625" style="79" customWidth="1"/>
    <col min="10990" max="10990" width="17" style="79" customWidth="1"/>
    <col min="10991" max="10992" width="28.1171875" style="79" customWidth="1"/>
    <col min="10993" max="10993" width="26.46875" style="79" customWidth="1"/>
    <col min="10994" max="11010" width="11.64453125" style="79" customWidth="1"/>
    <col min="11011" max="11011" width="16.3515625" style="79" customWidth="1"/>
    <col min="11012" max="11012" width="13.87890625" style="79" customWidth="1"/>
    <col min="11013" max="11016" width="11.64453125" style="79" customWidth="1"/>
    <col min="11017" max="11017" width="20.1171875" style="79" customWidth="1"/>
    <col min="11018" max="11019" width="2.64453125" style="79" customWidth="1"/>
    <col min="11020" max="11238" width="8.87890625" style="79"/>
    <col min="11239" max="11239" width="14.3515625" style="79" customWidth="1"/>
    <col min="11240" max="11240" width="21.87890625" style="79" customWidth="1"/>
    <col min="11241" max="11241" width="16" style="79" customWidth="1"/>
    <col min="11242" max="11242" width="54" style="79" customWidth="1"/>
    <col min="11243" max="11243" width="22.1171875" style="79" customWidth="1"/>
    <col min="11244" max="11244" width="21.46875" style="79" customWidth="1"/>
    <col min="11245" max="11245" width="17.87890625" style="79" customWidth="1"/>
    <col min="11246" max="11246" width="17" style="79" customWidth="1"/>
    <col min="11247" max="11248" width="28.1171875" style="79" customWidth="1"/>
    <col min="11249" max="11249" width="26.46875" style="79" customWidth="1"/>
    <col min="11250" max="11266" width="11.64453125" style="79" customWidth="1"/>
    <col min="11267" max="11267" width="16.3515625" style="79" customWidth="1"/>
    <col min="11268" max="11268" width="13.87890625" style="79" customWidth="1"/>
    <col min="11269" max="11272" width="11.64453125" style="79" customWidth="1"/>
    <col min="11273" max="11273" width="20.1171875" style="79" customWidth="1"/>
    <col min="11274" max="11275" width="2.64453125" style="79" customWidth="1"/>
    <col min="11276" max="11494" width="8.87890625" style="79"/>
    <col min="11495" max="11495" width="14.3515625" style="79" customWidth="1"/>
    <col min="11496" max="11496" width="21.87890625" style="79" customWidth="1"/>
    <col min="11497" max="11497" width="16" style="79" customWidth="1"/>
    <col min="11498" max="11498" width="54" style="79" customWidth="1"/>
    <col min="11499" max="11499" width="22.1171875" style="79" customWidth="1"/>
    <col min="11500" max="11500" width="21.46875" style="79" customWidth="1"/>
    <col min="11501" max="11501" width="17.87890625" style="79" customWidth="1"/>
    <col min="11502" max="11502" width="17" style="79" customWidth="1"/>
    <col min="11503" max="11504" width="28.1171875" style="79" customWidth="1"/>
    <col min="11505" max="11505" width="26.46875" style="79" customWidth="1"/>
    <col min="11506" max="11522" width="11.64453125" style="79" customWidth="1"/>
    <col min="11523" max="11523" width="16.3515625" style="79" customWidth="1"/>
    <col min="11524" max="11524" width="13.87890625" style="79" customWidth="1"/>
    <col min="11525" max="11528" width="11.64453125" style="79" customWidth="1"/>
    <col min="11529" max="11529" width="20.1171875" style="79" customWidth="1"/>
    <col min="11530" max="11531" width="2.64453125" style="79" customWidth="1"/>
    <col min="11532" max="11750" width="8.87890625" style="79"/>
    <col min="11751" max="11751" width="14.3515625" style="79" customWidth="1"/>
    <col min="11752" max="11752" width="21.87890625" style="79" customWidth="1"/>
    <col min="11753" max="11753" width="16" style="79" customWidth="1"/>
    <col min="11754" max="11754" width="54" style="79" customWidth="1"/>
    <col min="11755" max="11755" width="22.1171875" style="79" customWidth="1"/>
    <col min="11756" max="11756" width="21.46875" style="79" customWidth="1"/>
    <col min="11757" max="11757" width="17.87890625" style="79" customWidth="1"/>
    <col min="11758" max="11758" width="17" style="79" customWidth="1"/>
    <col min="11759" max="11760" width="28.1171875" style="79" customWidth="1"/>
    <col min="11761" max="11761" width="26.46875" style="79" customWidth="1"/>
    <col min="11762" max="11778" width="11.64453125" style="79" customWidth="1"/>
    <col min="11779" max="11779" width="16.3515625" style="79" customWidth="1"/>
    <col min="11780" max="11780" width="13.87890625" style="79" customWidth="1"/>
    <col min="11781" max="11784" width="11.64453125" style="79" customWidth="1"/>
    <col min="11785" max="11785" width="20.1171875" style="79" customWidth="1"/>
    <col min="11786" max="11787" width="2.64453125" style="79" customWidth="1"/>
    <col min="11788" max="12006" width="8.87890625" style="79"/>
    <col min="12007" max="12007" width="14.3515625" style="79" customWidth="1"/>
    <col min="12008" max="12008" width="21.87890625" style="79" customWidth="1"/>
    <col min="12009" max="12009" width="16" style="79" customWidth="1"/>
    <col min="12010" max="12010" width="54" style="79" customWidth="1"/>
    <col min="12011" max="12011" width="22.1171875" style="79" customWidth="1"/>
    <col min="12012" max="12012" width="21.46875" style="79" customWidth="1"/>
    <col min="12013" max="12013" width="17.87890625" style="79" customWidth="1"/>
    <col min="12014" max="12014" width="17" style="79" customWidth="1"/>
    <col min="12015" max="12016" width="28.1171875" style="79" customWidth="1"/>
    <col min="12017" max="12017" width="26.46875" style="79" customWidth="1"/>
    <col min="12018" max="12034" width="11.64453125" style="79" customWidth="1"/>
    <col min="12035" max="12035" width="16.3515625" style="79" customWidth="1"/>
    <col min="12036" max="12036" width="13.87890625" style="79" customWidth="1"/>
    <col min="12037" max="12040" width="11.64453125" style="79" customWidth="1"/>
    <col min="12041" max="12041" width="20.1171875" style="79" customWidth="1"/>
    <col min="12042" max="12043" width="2.64453125" style="79" customWidth="1"/>
    <col min="12044" max="12262" width="8.87890625" style="79"/>
    <col min="12263" max="12263" width="14.3515625" style="79" customWidth="1"/>
    <col min="12264" max="12264" width="21.87890625" style="79" customWidth="1"/>
    <col min="12265" max="12265" width="16" style="79" customWidth="1"/>
    <col min="12266" max="12266" width="54" style="79" customWidth="1"/>
    <col min="12267" max="12267" width="22.1171875" style="79" customWidth="1"/>
    <col min="12268" max="12268" width="21.46875" style="79" customWidth="1"/>
    <col min="12269" max="12269" width="17.87890625" style="79" customWidth="1"/>
    <col min="12270" max="12270" width="17" style="79" customWidth="1"/>
    <col min="12271" max="12272" width="28.1171875" style="79" customWidth="1"/>
    <col min="12273" max="12273" width="26.46875" style="79" customWidth="1"/>
    <col min="12274" max="12290" width="11.64453125" style="79" customWidth="1"/>
    <col min="12291" max="12291" width="16.3515625" style="79" customWidth="1"/>
    <col min="12292" max="12292" width="13.87890625" style="79" customWidth="1"/>
    <col min="12293" max="12296" width="11.64453125" style="79" customWidth="1"/>
    <col min="12297" max="12297" width="20.1171875" style="79" customWidth="1"/>
    <col min="12298" max="12299" width="2.64453125" style="79" customWidth="1"/>
    <col min="12300" max="12518" width="8.87890625" style="79"/>
    <col min="12519" max="12519" width="14.3515625" style="79" customWidth="1"/>
    <col min="12520" max="12520" width="21.87890625" style="79" customWidth="1"/>
    <col min="12521" max="12521" width="16" style="79" customWidth="1"/>
    <col min="12522" max="12522" width="54" style="79" customWidth="1"/>
    <col min="12523" max="12523" width="22.1171875" style="79" customWidth="1"/>
    <col min="12524" max="12524" width="21.46875" style="79" customWidth="1"/>
    <col min="12525" max="12525" width="17.87890625" style="79" customWidth="1"/>
    <col min="12526" max="12526" width="17" style="79" customWidth="1"/>
    <col min="12527" max="12528" width="28.1171875" style="79" customWidth="1"/>
    <col min="12529" max="12529" width="26.46875" style="79" customWidth="1"/>
    <col min="12530" max="12546" width="11.64453125" style="79" customWidth="1"/>
    <col min="12547" max="12547" width="16.3515625" style="79" customWidth="1"/>
    <col min="12548" max="12548" width="13.87890625" style="79" customWidth="1"/>
    <col min="12549" max="12552" width="11.64453125" style="79" customWidth="1"/>
    <col min="12553" max="12553" width="20.1171875" style="79" customWidth="1"/>
    <col min="12554" max="12555" width="2.64453125" style="79" customWidth="1"/>
    <col min="12556" max="12774" width="8.87890625" style="79"/>
    <col min="12775" max="12775" width="14.3515625" style="79" customWidth="1"/>
    <col min="12776" max="12776" width="21.87890625" style="79" customWidth="1"/>
    <col min="12777" max="12777" width="16" style="79" customWidth="1"/>
    <col min="12778" max="12778" width="54" style="79" customWidth="1"/>
    <col min="12779" max="12779" width="22.1171875" style="79" customWidth="1"/>
    <col min="12780" max="12780" width="21.46875" style="79" customWidth="1"/>
    <col min="12781" max="12781" width="17.87890625" style="79" customWidth="1"/>
    <col min="12782" max="12782" width="17" style="79" customWidth="1"/>
    <col min="12783" max="12784" width="28.1171875" style="79" customWidth="1"/>
    <col min="12785" max="12785" width="26.46875" style="79" customWidth="1"/>
    <col min="12786" max="12802" width="11.64453125" style="79" customWidth="1"/>
    <col min="12803" max="12803" width="16.3515625" style="79" customWidth="1"/>
    <col min="12804" max="12804" width="13.87890625" style="79" customWidth="1"/>
    <col min="12805" max="12808" width="11.64453125" style="79" customWidth="1"/>
    <col min="12809" max="12809" width="20.1171875" style="79" customWidth="1"/>
    <col min="12810" max="12811" width="2.64453125" style="79" customWidth="1"/>
    <col min="12812" max="13030" width="8.87890625" style="79"/>
    <col min="13031" max="13031" width="14.3515625" style="79" customWidth="1"/>
    <col min="13032" max="13032" width="21.87890625" style="79" customWidth="1"/>
    <col min="13033" max="13033" width="16" style="79" customWidth="1"/>
    <col min="13034" max="13034" width="54" style="79" customWidth="1"/>
    <col min="13035" max="13035" width="22.1171875" style="79" customWidth="1"/>
    <col min="13036" max="13036" width="21.46875" style="79" customWidth="1"/>
    <col min="13037" max="13037" width="17.87890625" style="79" customWidth="1"/>
    <col min="13038" max="13038" width="17" style="79" customWidth="1"/>
    <col min="13039" max="13040" width="28.1171875" style="79" customWidth="1"/>
    <col min="13041" max="13041" width="26.46875" style="79" customWidth="1"/>
    <col min="13042" max="13058" width="11.64453125" style="79" customWidth="1"/>
    <col min="13059" max="13059" width="16.3515625" style="79" customWidth="1"/>
    <col min="13060" max="13060" width="13.87890625" style="79" customWidth="1"/>
    <col min="13061" max="13064" width="11.64453125" style="79" customWidth="1"/>
    <col min="13065" max="13065" width="20.1171875" style="79" customWidth="1"/>
    <col min="13066" max="13067" width="2.64453125" style="79" customWidth="1"/>
    <col min="13068" max="13286" width="8.87890625" style="79"/>
    <col min="13287" max="13287" width="14.3515625" style="79" customWidth="1"/>
    <col min="13288" max="13288" width="21.87890625" style="79" customWidth="1"/>
    <col min="13289" max="13289" width="16" style="79" customWidth="1"/>
    <col min="13290" max="13290" width="54" style="79" customWidth="1"/>
    <col min="13291" max="13291" width="22.1171875" style="79" customWidth="1"/>
    <col min="13292" max="13292" width="21.46875" style="79" customWidth="1"/>
    <col min="13293" max="13293" width="17.87890625" style="79" customWidth="1"/>
    <col min="13294" max="13294" width="17" style="79" customWidth="1"/>
    <col min="13295" max="13296" width="28.1171875" style="79" customWidth="1"/>
    <col min="13297" max="13297" width="26.46875" style="79" customWidth="1"/>
    <col min="13298" max="13314" width="11.64453125" style="79" customWidth="1"/>
    <col min="13315" max="13315" width="16.3515625" style="79" customWidth="1"/>
    <col min="13316" max="13316" width="13.87890625" style="79" customWidth="1"/>
    <col min="13317" max="13320" width="11.64453125" style="79" customWidth="1"/>
    <col min="13321" max="13321" width="20.1171875" style="79" customWidth="1"/>
    <col min="13322" max="13323" width="2.64453125" style="79" customWidth="1"/>
    <col min="13324" max="13542" width="8.87890625" style="79"/>
    <col min="13543" max="13543" width="14.3515625" style="79" customWidth="1"/>
    <col min="13544" max="13544" width="21.87890625" style="79" customWidth="1"/>
    <col min="13545" max="13545" width="16" style="79" customWidth="1"/>
    <col min="13546" max="13546" width="54" style="79" customWidth="1"/>
    <col min="13547" max="13547" width="22.1171875" style="79" customWidth="1"/>
    <col min="13548" max="13548" width="21.46875" style="79" customWidth="1"/>
    <col min="13549" max="13549" width="17.87890625" style="79" customWidth="1"/>
    <col min="13550" max="13550" width="17" style="79" customWidth="1"/>
    <col min="13551" max="13552" width="28.1171875" style="79" customWidth="1"/>
    <col min="13553" max="13553" width="26.46875" style="79" customWidth="1"/>
    <col min="13554" max="13570" width="11.64453125" style="79" customWidth="1"/>
    <col min="13571" max="13571" width="16.3515625" style="79" customWidth="1"/>
    <col min="13572" max="13572" width="13.87890625" style="79" customWidth="1"/>
    <col min="13573" max="13576" width="11.64453125" style="79" customWidth="1"/>
    <col min="13577" max="13577" width="20.1171875" style="79" customWidth="1"/>
    <col min="13578" max="13579" width="2.64453125" style="79" customWidth="1"/>
    <col min="13580" max="13798" width="8.87890625" style="79"/>
    <col min="13799" max="13799" width="14.3515625" style="79" customWidth="1"/>
    <col min="13800" max="13800" width="21.87890625" style="79" customWidth="1"/>
    <col min="13801" max="13801" width="16" style="79" customWidth="1"/>
    <col min="13802" max="13802" width="54" style="79" customWidth="1"/>
    <col min="13803" max="13803" width="22.1171875" style="79" customWidth="1"/>
    <col min="13804" max="13804" width="21.46875" style="79" customWidth="1"/>
    <col min="13805" max="13805" width="17.87890625" style="79" customWidth="1"/>
    <col min="13806" max="13806" width="17" style="79" customWidth="1"/>
    <col min="13807" max="13808" width="28.1171875" style="79" customWidth="1"/>
    <col min="13809" max="13809" width="26.46875" style="79" customWidth="1"/>
    <col min="13810" max="13826" width="11.64453125" style="79" customWidth="1"/>
    <col min="13827" max="13827" width="16.3515625" style="79" customWidth="1"/>
    <col min="13828" max="13828" width="13.87890625" style="79" customWidth="1"/>
    <col min="13829" max="13832" width="11.64453125" style="79" customWidth="1"/>
    <col min="13833" max="13833" width="20.1171875" style="79" customWidth="1"/>
    <col min="13834" max="13835" width="2.64453125" style="79" customWidth="1"/>
    <col min="13836" max="14054" width="8.87890625" style="79"/>
    <col min="14055" max="14055" width="14.3515625" style="79" customWidth="1"/>
    <col min="14056" max="14056" width="21.87890625" style="79" customWidth="1"/>
    <col min="14057" max="14057" width="16" style="79" customWidth="1"/>
    <col min="14058" max="14058" width="54" style="79" customWidth="1"/>
    <col min="14059" max="14059" width="22.1171875" style="79" customWidth="1"/>
    <col min="14060" max="14060" width="21.46875" style="79" customWidth="1"/>
    <col min="14061" max="14061" width="17.87890625" style="79" customWidth="1"/>
    <col min="14062" max="14062" width="17" style="79" customWidth="1"/>
    <col min="14063" max="14064" width="28.1171875" style="79" customWidth="1"/>
    <col min="14065" max="14065" width="26.46875" style="79" customWidth="1"/>
    <col min="14066" max="14082" width="11.64453125" style="79" customWidth="1"/>
    <col min="14083" max="14083" width="16.3515625" style="79" customWidth="1"/>
    <col min="14084" max="14084" width="13.87890625" style="79" customWidth="1"/>
    <col min="14085" max="14088" width="11.64453125" style="79" customWidth="1"/>
    <col min="14089" max="14089" width="20.1171875" style="79" customWidth="1"/>
    <col min="14090" max="14091" width="2.64453125" style="79" customWidth="1"/>
    <col min="14092" max="14310" width="8.87890625" style="79"/>
    <col min="14311" max="14311" width="14.3515625" style="79" customWidth="1"/>
    <col min="14312" max="14312" width="21.87890625" style="79" customWidth="1"/>
    <col min="14313" max="14313" width="16" style="79" customWidth="1"/>
    <col min="14314" max="14314" width="54" style="79" customWidth="1"/>
    <col min="14315" max="14315" width="22.1171875" style="79" customWidth="1"/>
    <col min="14316" max="14316" width="21.46875" style="79" customWidth="1"/>
    <col min="14317" max="14317" width="17.87890625" style="79" customWidth="1"/>
    <col min="14318" max="14318" width="17" style="79" customWidth="1"/>
    <col min="14319" max="14320" width="28.1171875" style="79" customWidth="1"/>
    <col min="14321" max="14321" width="26.46875" style="79" customWidth="1"/>
    <col min="14322" max="14338" width="11.64453125" style="79" customWidth="1"/>
    <col min="14339" max="14339" width="16.3515625" style="79" customWidth="1"/>
    <col min="14340" max="14340" width="13.87890625" style="79" customWidth="1"/>
    <col min="14341" max="14344" width="11.64453125" style="79" customWidth="1"/>
    <col min="14345" max="14345" width="20.1171875" style="79" customWidth="1"/>
    <col min="14346" max="14347" width="2.64453125" style="79" customWidth="1"/>
    <col min="14348" max="14566" width="8.87890625" style="79"/>
    <col min="14567" max="14567" width="14.3515625" style="79" customWidth="1"/>
    <col min="14568" max="14568" width="21.87890625" style="79" customWidth="1"/>
    <col min="14569" max="14569" width="16" style="79" customWidth="1"/>
    <col min="14570" max="14570" width="54" style="79" customWidth="1"/>
    <col min="14571" max="14571" width="22.1171875" style="79" customWidth="1"/>
    <col min="14572" max="14572" width="21.46875" style="79" customWidth="1"/>
    <col min="14573" max="14573" width="17.87890625" style="79" customWidth="1"/>
    <col min="14574" max="14574" width="17" style="79" customWidth="1"/>
    <col min="14575" max="14576" width="28.1171875" style="79" customWidth="1"/>
    <col min="14577" max="14577" width="26.46875" style="79" customWidth="1"/>
    <col min="14578" max="14594" width="11.64453125" style="79" customWidth="1"/>
    <col min="14595" max="14595" width="16.3515625" style="79" customWidth="1"/>
    <col min="14596" max="14596" width="13.87890625" style="79" customWidth="1"/>
    <col min="14597" max="14600" width="11.64453125" style="79" customWidth="1"/>
    <col min="14601" max="14601" width="20.1171875" style="79" customWidth="1"/>
    <col min="14602" max="14603" width="2.64453125" style="79" customWidth="1"/>
    <col min="14604" max="14822" width="8.87890625" style="79"/>
    <col min="14823" max="14823" width="14.3515625" style="79" customWidth="1"/>
    <col min="14824" max="14824" width="21.87890625" style="79" customWidth="1"/>
    <col min="14825" max="14825" width="16" style="79" customWidth="1"/>
    <col min="14826" max="14826" width="54" style="79" customWidth="1"/>
    <col min="14827" max="14827" width="22.1171875" style="79" customWidth="1"/>
    <col min="14828" max="14828" width="21.46875" style="79" customWidth="1"/>
    <col min="14829" max="14829" width="17.87890625" style="79" customWidth="1"/>
    <col min="14830" max="14830" width="17" style="79" customWidth="1"/>
    <col min="14831" max="14832" width="28.1171875" style="79" customWidth="1"/>
    <col min="14833" max="14833" width="26.46875" style="79" customWidth="1"/>
    <col min="14834" max="14850" width="11.64453125" style="79" customWidth="1"/>
    <col min="14851" max="14851" width="16.3515625" style="79" customWidth="1"/>
    <col min="14852" max="14852" width="13.87890625" style="79" customWidth="1"/>
    <col min="14853" max="14856" width="11.64453125" style="79" customWidth="1"/>
    <col min="14857" max="14857" width="20.1171875" style="79" customWidth="1"/>
    <col min="14858" max="14859" width="2.64453125" style="79" customWidth="1"/>
    <col min="14860" max="15078" width="8.87890625" style="79"/>
    <col min="15079" max="15079" width="14.3515625" style="79" customWidth="1"/>
    <col min="15080" max="15080" width="21.87890625" style="79" customWidth="1"/>
    <col min="15081" max="15081" width="16" style="79" customWidth="1"/>
    <col min="15082" max="15082" width="54" style="79" customWidth="1"/>
    <col min="15083" max="15083" width="22.1171875" style="79" customWidth="1"/>
    <col min="15084" max="15084" width="21.46875" style="79" customWidth="1"/>
    <col min="15085" max="15085" width="17.87890625" style="79" customWidth="1"/>
    <col min="15086" max="15086" width="17" style="79" customWidth="1"/>
    <col min="15087" max="15088" width="28.1171875" style="79" customWidth="1"/>
    <col min="15089" max="15089" width="26.46875" style="79" customWidth="1"/>
    <col min="15090" max="15106" width="11.64453125" style="79" customWidth="1"/>
    <col min="15107" max="15107" width="16.3515625" style="79" customWidth="1"/>
    <col min="15108" max="15108" width="13.87890625" style="79" customWidth="1"/>
    <col min="15109" max="15112" width="11.64453125" style="79" customWidth="1"/>
    <col min="15113" max="15113" width="20.1171875" style="79" customWidth="1"/>
    <col min="15114" max="15115" width="2.64453125" style="79" customWidth="1"/>
    <col min="15116" max="15334" width="8.87890625" style="79"/>
    <col min="15335" max="15335" width="14.3515625" style="79" customWidth="1"/>
    <col min="15336" max="15336" width="21.87890625" style="79" customWidth="1"/>
    <col min="15337" max="15337" width="16" style="79" customWidth="1"/>
    <col min="15338" max="15338" width="54" style="79" customWidth="1"/>
    <col min="15339" max="15339" width="22.1171875" style="79" customWidth="1"/>
    <col min="15340" max="15340" width="21.46875" style="79" customWidth="1"/>
    <col min="15341" max="15341" width="17.87890625" style="79" customWidth="1"/>
    <col min="15342" max="15342" width="17" style="79" customWidth="1"/>
    <col min="15343" max="15344" width="28.1171875" style="79" customWidth="1"/>
    <col min="15345" max="15345" width="26.46875" style="79" customWidth="1"/>
    <col min="15346" max="15362" width="11.64453125" style="79" customWidth="1"/>
    <col min="15363" max="15363" width="16.3515625" style="79" customWidth="1"/>
    <col min="15364" max="15364" width="13.87890625" style="79" customWidth="1"/>
    <col min="15365" max="15368" width="11.64453125" style="79" customWidth="1"/>
    <col min="15369" max="15369" width="20.1171875" style="79" customWidth="1"/>
    <col min="15370" max="15371" width="2.64453125" style="79" customWidth="1"/>
    <col min="15372" max="15590" width="8.87890625" style="79"/>
    <col min="15591" max="15591" width="14.3515625" style="79" customWidth="1"/>
    <col min="15592" max="15592" width="21.87890625" style="79" customWidth="1"/>
    <col min="15593" max="15593" width="16" style="79" customWidth="1"/>
    <col min="15594" max="15594" width="54" style="79" customWidth="1"/>
    <col min="15595" max="15595" width="22.1171875" style="79" customWidth="1"/>
    <col min="15596" max="15596" width="21.46875" style="79" customWidth="1"/>
    <col min="15597" max="15597" width="17.87890625" style="79" customWidth="1"/>
    <col min="15598" max="15598" width="17" style="79" customWidth="1"/>
    <col min="15599" max="15600" width="28.1171875" style="79" customWidth="1"/>
    <col min="15601" max="15601" width="26.46875" style="79" customWidth="1"/>
    <col min="15602" max="15618" width="11.64453125" style="79" customWidth="1"/>
    <col min="15619" max="15619" width="16.3515625" style="79" customWidth="1"/>
    <col min="15620" max="15620" width="13.87890625" style="79" customWidth="1"/>
    <col min="15621" max="15624" width="11.64453125" style="79" customWidth="1"/>
    <col min="15625" max="15625" width="20.1171875" style="79" customWidth="1"/>
    <col min="15626" max="15627" width="2.64453125" style="79" customWidth="1"/>
    <col min="15628" max="15846" width="8.87890625" style="79"/>
    <col min="15847" max="15847" width="14.3515625" style="79" customWidth="1"/>
    <col min="15848" max="15848" width="21.87890625" style="79" customWidth="1"/>
    <col min="15849" max="15849" width="16" style="79" customWidth="1"/>
    <col min="15850" max="15850" width="54" style="79" customWidth="1"/>
    <col min="15851" max="15851" width="22.1171875" style="79" customWidth="1"/>
    <col min="15852" max="15852" width="21.46875" style="79" customWidth="1"/>
    <col min="15853" max="15853" width="17.87890625" style="79" customWidth="1"/>
    <col min="15854" max="15854" width="17" style="79" customWidth="1"/>
    <col min="15855" max="15856" width="28.1171875" style="79" customWidth="1"/>
    <col min="15857" max="15857" width="26.46875" style="79" customWidth="1"/>
    <col min="15858" max="15874" width="11.64453125" style="79" customWidth="1"/>
    <col min="15875" max="15875" width="16.3515625" style="79" customWidth="1"/>
    <col min="15876" max="15876" width="13.87890625" style="79" customWidth="1"/>
    <col min="15877" max="15880" width="11.64453125" style="79" customWidth="1"/>
    <col min="15881" max="15881" width="20.1171875" style="79" customWidth="1"/>
    <col min="15882" max="15883" width="2.64453125" style="79" customWidth="1"/>
    <col min="15884" max="16102" width="8.87890625" style="79"/>
    <col min="16103" max="16103" width="14.3515625" style="79" customWidth="1"/>
    <col min="16104" max="16104" width="21.87890625" style="79" customWidth="1"/>
    <col min="16105" max="16105" width="16" style="79" customWidth="1"/>
    <col min="16106" max="16106" width="54" style="79" customWidth="1"/>
    <col min="16107" max="16107" width="22.1171875" style="79" customWidth="1"/>
    <col min="16108" max="16108" width="21.46875" style="79" customWidth="1"/>
    <col min="16109" max="16109" width="17.87890625" style="79" customWidth="1"/>
    <col min="16110" max="16110" width="17" style="79" customWidth="1"/>
    <col min="16111" max="16112" width="28.1171875" style="79" customWidth="1"/>
    <col min="16113" max="16113" width="26.46875" style="79" customWidth="1"/>
    <col min="16114" max="16130" width="11.64453125" style="79" customWidth="1"/>
    <col min="16131" max="16131" width="16.3515625" style="79" customWidth="1"/>
    <col min="16132" max="16132" width="13.87890625" style="79" customWidth="1"/>
    <col min="16133" max="16136" width="11.64453125" style="79" customWidth="1"/>
    <col min="16137" max="16137" width="20.1171875" style="79" customWidth="1"/>
    <col min="16138" max="16139" width="2.64453125" style="79" customWidth="1"/>
    <col min="16140" max="16384" width="8.87890625" style="79"/>
  </cols>
  <sheetData>
    <row r="1" spans="1:33" s="7" customFormat="1" ht="39.950000000000003" customHeight="1" x14ac:dyDescent="0.9">
      <c r="A1" s="1" t="s">
        <v>0</v>
      </c>
      <c r="B1" s="2"/>
      <c r="C1" s="3" t="s">
        <v>1</v>
      </c>
      <c r="D1" s="4"/>
      <c r="E1" s="4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33" s="7" customFormat="1" ht="39.950000000000003" customHeight="1" x14ac:dyDescent="0.9">
      <c r="A2" s="1" t="s">
        <v>2</v>
      </c>
      <c r="B2" s="8"/>
      <c r="C2" s="9" t="s">
        <v>3</v>
      </c>
      <c r="D2" s="4"/>
      <c r="E2" s="4"/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33" s="7" customFormat="1" ht="39.950000000000003" customHeight="1" x14ac:dyDescent="0.9">
      <c r="A3" s="1" t="s">
        <v>4</v>
      </c>
      <c r="B3" s="8"/>
      <c r="C3" s="9"/>
      <c r="D3" s="4"/>
      <c r="E3" s="4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33" s="7" customFormat="1" ht="39.950000000000003" customHeight="1" x14ac:dyDescent="0.9">
      <c r="A4" s="1" t="s">
        <v>5</v>
      </c>
      <c r="B4" s="8"/>
      <c r="C4" s="3" t="s">
        <v>6</v>
      </c>
      <c r="D4" s="4"/>
      <c r="E4" s="4"/>
      <c r="F4" s="5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33" s="7" customFormat="1" ht="39.950000000000003" customHeight="1" x14ac:dyDescent="0.9">
      <c r="A5" s="1" t="s">
        <v>7</v>
      </c>
      <c r="B5" s="8"/>
      <c r="C5" s="9"/>
      <c r="D5" s="4"/>
      <c r="E5" s="4"/>
      <c r="F5" s="5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33" s="7" customFormat="1" ht="39.950000000000003" customHeight="1" x14ac:dyDescent="0.9">
      <c r="A6" s="1" t="s">
        <v>8</v>
      </c>
      <c r="B6" s="8"/>
      <c r="C6" s="9" t="s">
        <v>9</v>
      </c>
      <c r="D6" s="4"/>
      <c r="E6" s="4"/>
      <c r="F6" s="5"/>
      <c r="G6" s="5"/>
      <c r="H6" s="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33" s="7" customFormat="1" ht="39.950000000000003" customHeight="1" thickBot="1" x14ac:dyDescent="0.95">
      <c r="A7" s="4"/>
      <c r="B7" s="4"/>
      <c r="C7" s="4"/>
      <c r="D7" s="11"/>
      <c r="E7" s="11"/>
      <c r="F7" s="11"/>
      <c r="G7" s="11"/>
      <c r="H7" s="12"/>
      <c r="I7" s="13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33" s="24" customFormat="1" ht="41.7" customHeight="1" thickTop="1" x14ac:dyDescent="0.55000000000000004">
      <c r="A8" s="15" t="s">
        <v>10</v>
      </c>
      <c r="B8" s="16" t="s">
        <v>11</v>
      </c>
      <c r="C8" s="17" t="s">
        <v>12</v>
      </c>
      <c r="D8" s="18" t="s">
        <v>13</v>
      </c>
      <c r="E8" s="17" t="s">
        <v>14</v>
      </c>
      <c r="F8" s="17" t="s">
        <v>15</v>
      </c>
      <c r="G8" s="19" t="s">
        <v>16</v>
      </c>
      <c r="H8" s="20" t="s">
        <v>17</v>
      </c>
      <c r="I8" s="21" t="s">
        <v>18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3"/>
    </row>
    <row r="9" spans="1:33" s="24" customFormat="1" ht="41.7" customHeight="1" x14ac:dyDescent="0.55000000000000004">
      <c r="A9" s="25"/>
      <c r="B9" s="26"/>
      <c r="C9" s="27"/>
      <c r="D9" s="28"/>
      <c r="E9" s="27"/>
      <c r="F9" s="27"/>
      <c r="G9" s="29"/>
      <c r="H9" s="30"/>
      <c r="I9" s="31">
        <v>8</v>
      </c>
      <c r="J9" s="32">
        <f>I9+1</f>
        <v>9</v>
      </c>
      <c r="K9" s="32">
        <f t="shared" ref="K9:AC9" si="0">J9+1</f>
        <v>10</v>
      </c>
      <c r="L9" s="32">
        <f t="shared" si="0"/>
        <v>11</v>
      </c>
      <c r="M9" s="32">
        <f t="shared" si="0"/>
        <v>12</v>
      </c>
      <c r="N9" s="32">
        <f t="shared" si="0"/>
        <v>13</v>
      </c>
      <c r="O9" s="32">
        <f t="shared" si="0"/>
        <v>14</v>
      </c>
      <c r="P9" s="32">
        <f t="shared" si="0"/>
        <v>15</v>
      </c>
      <c r="Q9" s="32">
        <f>P9+1</f>
        <v>16</v>
      </c>
      <c r="R9" s="32">
        <f>Q9+1</f>
        <v>17</v>
      </c>
      <c r="S9" s="32">
        <f>R9+1</f>
        <v>18</v>
      </c>
      <c r="T9" s="32">
        <f>S9+1</f>
        <v>19</v>
      </c>
      <c r="U9" s="32">
        <f t="shared" si="0"/>
        <v>20</v>
      </c>
      <c r="V9" s="32">
        <f t="shared" si="0"/>
        <v>21</v>
      </c>
      <c r="W9" s="32">
        <f t="shared" si="0"/>
        <v>22</v>
      </c>
      <c r="X9" s="32">
        <f t="shared" si="0"/>
        <v>23</v>
      </c>
      <c r="Y9" s="32">
        <f t="shared" si="0"/>
        <v>24</v>
      </c>
      <c r="Z9" s="32">
        <f t="shared" si="0"/>
        <v>25</v>
      </c>
      <c r="AA9" s="32">
        <f t="shared" si="0"/>
        <v>26</v>
      </c>
      <c r="AB9" s="32">
        <f t="shared" si="0"/>
        <v>27</v>
      </c>
      <c r="AC9" s="33">
        <f t="shared" si="0"/>
        <v>28</v>
      </c>
    </row>
    <row r="10" spans="1:33" s="24" customFormat="1" ht="41.7" customHeight="1" thickBot="1" x14ac:dyDescent="0.6">
      <c r="A10" s="34"/>
      <c r="B10" s="35"/>
      <c r="C10" s="36"/>
      <c r="D10" s="37"/>
      <c r="E10" s="36"/>
      <c r="F10" s="36"/>
      <c r="G10" s="38"/>
      <c r="H10" s="39"/>
      <c r="I10" s="40" t="s">
        <v>19</v>
      </c>
      <c r="J10" s="40" t="s">
        <v>20</v>
      </c>
      <c r="K10" s="41" t="s">
        <v>21</v>
      </c>
      <c r="L10" s="41" t="s">
        <v>22</v>
      </c>
      <c r="M10" s="40" t="s">
        <v>23</v>
      </c>
      <c r="N10" s="42" t="s">
        <v>24</v>
      </c>
      <c r="O10" s="42" t="s">
        <v>25</v>
      </c>
      <c r="P10" s="40" t="s">
        <v>19</v>
      </c>
      <c r="Q10" s="40" t="s">
        <v>20</v>
      </c>
      <c r="R10" s="41" t="s">
        <v>21</v>
      </c>
      <c r="S10" s="41" t="s">
        <v>22</v>
      </c>
      <c r="T10" s="40" t="s">
        <v>23</v>
      </c>
      <c r="U10" s="42" t="s">
        <v>24</v>
      </c>
      <c r="V10" s="42" t="s">
        <v>25</v>
      </c>
      <c r="W10" s="40" t="s">
        <v>19</v>
      </c>
      <c r="X10" s="40" t="s">
        <v>20</v>
      </c>
      <c r="Y10" s="41" t="s">
        <v>21</v>
      </c>
      <c r="Z10" s="41" t="s">
        <v>22</v>
      </c>
      <c r="AA10" s="40" t="s">
        <v>23</v>
      </c>
      <c r="AB10" s="42" t="s">
        <v>24</v>
      </c>
      <c r="AC10" s="43" t="s">
        <v>25</v>
      </c>
    </row>
    <row r="11" spans="1:33" s="55" customFormat="1" ht="105.6" customHeight="1" thickTop="1" x14ac:dyDescent="0.55000000000000004">
      <c r="A11" s="44" t="s">
        <v>26</v>
      </c>
      <c r="B11" s="45" t="s">
        <v>27</v>
      </c>
      <c r="C11" s="46" t="s">
        <v>28</v>
      </c>
      <c r="D11" s="47">
        <f>3000*F11</f>
        <v>1440000</v>
      </c>
      <c r="E11" s="48" t="s">
        <v>50</v>
      </c>
      <c r="F11" s="49">
        <f>SUM(I11:AC11)</f>
        <v>480</v>
      </c>
      <c r="G11" s="50">
        <f>250000/14400*(F11*20)</f>
        <v>166666.66666666666</v>
      </c>
      <c r="H11" s="51" t="s">
        <v>30</v>
      </c>
      <c r="I11" s="52">
        <v>23</v>
      </c>
      <c r="J11" s="53">
        <f>I11</f>
        <v>23</v>
      </c>
      <c r="K11" s="53">
        <f t="shared" ref="K11:AC11" si="1">J11</f>
        <v>23</v>
      </c>
      <c r="L11" s="53">
        <f t="shared" si="1"/>
        <v>23</v>
      </c>
      <c r="M11" s="53">
        <f t="shared" si="1"/>
        <v>23</v>
      </c>
      <c r="N11" s="53">
        <f t="shared" si="1"/>
        <v>23</v>
      </c>
      <c r="O11" s="53">
        <f>N11</f>
        <v>23</v>
      </c>
      <c r="P11" s="53">
        <f t="shared" si="1"/>
        <v>23</v>
      </c>
      <c r="Q11" s="53">
        <f t="shared" si="1"/>
        <v>23</v>
      </c>
      <c r="R11" s="53">
        <f t="shared" si="1"/>
        <v>23</v>
      </c>
      <c r="S11" s="53">
        <f t="shared" si="1"/>
        <v>23</v>
      </c>
      <c r="T11" s="53">
        <f t="shared" si="1"/>
        <v>23</v>
      </c>
      <c r="U11" s="53">
        <f t="shared" si="1"/>
        <v>23</v>
      </c>
      <c r="V11" s="53">
        <f t="shared" si="1"/>
        <v>23</v>
      </c>
      <c r="W11" s="53">
        <f t="shared" si="1"/>
        <v>23</v>
      </c>
      <c r="X11" s="53">
        <f t="shared" si="1"/>
        <v>23</v>
      </c>
      <c r="Y11" s="53">
        <f t="shared" si="1"/>
        <v>23</v>
      </c>
      <c r="Z11" s="53">
        <f t="shared" si="1"/>
        <v>23</v>
      </c>
      <c r="AA11" s="53">
        <v>22</v>
      </c>
      <c r="AB11" s="53">
        <f t="shared" si="1"/>
        <v>22</v>
      </c>
      <c r="AC11" s="54">
        <f t="shared" si="1"/>
        <v>22</v>
      </c>
    </row>
    <row r="12" spans="1:33" s="55" customFormat="1" ht="105.6" customHeight="1" x14ac:dyDescent="0.55000000000000004">
      <c r="A12" s="44"/>
      <c r="B12" s="45"/>
      <c r="C12" s="46"/>
      <c r="D12" s="47">
        <f>3000*F12</f>
        <v>216000</v>
      </c>
      <c r="E12" s="48"/>
      <c r="F12" s="56">
        <v>72</v>
      </c>
      <c r="G12" s="57" t="s">
        <v>31</v>
      </c>
      <c r="H12" s="51"/>
      <c r="I12" s="58" t="s">
        <v>51</v>
      </c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9"/>
    </row>
    <row r="13" spans="1:33" s="55" customFormat="1" ht="88.7" customHeight="1" x14ac:dyDescent="0.55000000000000004">
      <c r="A13" s="44"/>
      <c r="B13" s="60"/>
      <c r="C13" s="61"/>
      <c r="D13" s="62">
        <f>3000*F13</f>
        <v>663000</v>
      </c>
      <c r="E13" s="63"/>
      <c r="F13" s="64">
        <v>221</v>
      </c>
      <c r="G13" s="57" t="s">
        <v>31</v>
      </c>
      <c r="H13" s="65"/>
      <c r="I13" s="58" t="s">
        <v>52</v>
      </c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9"/>
    </row>
    <row r="14" spans="1:33" s="76" customFormat="1" ht="80.099999999999994" customHeight="1" thickBot="1" x14ac:dyDescent="0.6">
      <c r="A14" s="34"/>
      <c r="B14" s="66" t="s">
        <v>16</v>
      </c>
      <c r="C14" s="67"/>
      <c r="D14" s="68">
        <f>SUM(D11:D13)</f>
        <v>2319000</v>
      </c>
      <c r="E14" s="69"/>
      <c r="F14" s="70">
        <f>SUM(F11:F13)</f>
        <v>773</v>
      </c>
      <c r="G14" s="71">
        <f>SUM(G11:G13)</f>
        <v>166666.66666666666</v>
      </c>
      <c r="H14" s="72"/>
      <c r="I14" s="73">
        <f>SUM(I11)</f>
        <v>23</v>
      </c>
      <c r="J14" s="74">
        <f t="shared" ref="J14:AC14" si="2">SUM(J11:J13)</f>
        <v>23</v>
      </c>
      <c r="K14" s="74">
        <f t="shared" si="2"/>
        <v>23</v>
      </c>
      <c r="L14" s="74">
        <f t="shared" si="2"/>
        <v>23</v>
      </c>
      <c r="M14" s="74">
        <f t="shared" si="2"/>
        <v>23</v>
      </c>
      <c r="N14" s="74">
        <f t="shared" si="2"/>
        <v>23</v>
      </c>
      <c r="O14" s="74">
        <f t="shared" si="2"/>
        <v>23</v>
      </c>
      <c r="P14" s="74">
        <f t="shared" si="2"/>
        <v>23</v>
      </c>
      <c r="Q14" s="74">
        <f t="shared" si="2"/>
        <v>23</v>
      </c>
      <c r="R14" s="74">
        <f t="shared" si="2"/>
        <v>23</v>
      </c>
      <c r="S14" s="74">
        <f t="shared" si="2"/>
        <v>23</v>
      </c>
      <c r="T14" s="74">
        <f t="shared" si="2"/>
        <v>23</v>
      </c>
      <c r="U14" s="74">
        <f t="shared" si="2"/>
        <v>23</v>
      </c>
      <c r="V14" s="74">
        <f t="shared" si="2"/>
        <v>23</v>
      </c>
      <c r="W14" s="74">
        <f t="shared" si="2"/>
        <v>23</v>
      </c>
      <c r="X14" s="74">
        <f t="shared" si="2"/>
        <v>23</v>
      </c>
      <c r="Y14" s="74">
        <f t="shared" si="2"/>
        <v>23</v>
      </c>
      <c r="Z14" s="74">
        <f t="shared" si="2"/>
        <v>23</v>
      </c>
      <c r="AA14" s="74">
        <f t="shared" si="2"/>
        <v>22</v>
      </c>
      <c r="AB14" s="74">
        <f t="shared" si="2"/>
        <v>22</v>
      </c>
      <c r="AC14" s="75">
        <f t="shared" si="2"/>
        <v>22</v>
      </c>
      <c r="AG14" s="77" t="s">
        <v>33</v>
      </c>
    </row>
    <row r="15" spans="1:33" ht="60" customHeight="1" thickTop="1" x14ac:dyDescent="0.55000000000000004">
      <c r="A15" s="4"/>
      <c r="B15" s="4"/>
      <c r="C15" s="4"/>
      <c r="D15" s="7"/>
      <c r="E15" s="7"/>
      <c r="F15" s="5"/>
      <c r="G15" s="5"/>
      <c r="H15" s="5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G15" s="77" t="s">
        <v>34</v>
      </c>
    </row>
    <row r="16" spans="1:33" ht="60" customHeight="1" x14ac:dyDescent="0.55000000000000004">
      <c r="A16" s="4"/>
      <c r="B16" s="4"/>
      <c r="C16" s="4"/>
      <c r="D16" s="7"/>
      <c r="E16" s="7"/>
      <c r="F16" s="5"/>
      <c r="G16" s="5"/>
      <c r="H16" s="5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G16" s="81" t="s">
        <v>35</v>
      </c>
    </row>
    <row r="17" spans="1:33" ht="60" customHeight="1" x14ac:dyDescent="0.55000000000000004">
      <c r="A17" s="79"/>
      <c r="B17" s="4"/>
      <c r="C17" s="4"/>
      <c r="D17" s="82"/>
      <c r="E17" s="82"/>
      <c r="F17" s="83" t="s">
        <v>36</v>
      </c>
      <c r="G17" s="84">
        <f>G11</f>
        <v>166666.66666666666</v>
      </c>
      <c r="H17" s="85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G17" s="77" t="s">
        <v>37</v>
      </c>
    </row>
    <row r="18" spans="1:33" ht="60" customHeight="1" x14ac:dyDescent="0.55000000000000004">
      <c r="A18" s="79"/>
      <c r="B18" s="4"/>
      <c r="C18" s="4"/>
      <c r="D18" s="82"/>
      <c r="E18" s="82"/>
      <c r="F18" s="87" t="s">
        <v>38</v>
      </c>
      <c r="G18" s="88">
        <f>G17*0.03</f>
        <v>4999.9999999999991</v>
      </c>
      <c r="H18" s="85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G18" s="77" t="s">
        <v>39</v>
      </c>
    </row>
    <row r="19" spans="1:33" ht="60" customHeight="1" x14ac:dyDescent="0.55000000000000004">
      <c r="A19" s="79"/>
      <c r="B19" s="4"/>
      <c r="C19" s="4"/>
      <c r="D19" s="82"/>
      <c r="E19" s="82"/>
      <c r="F19" s="87" t="s">
        <v>40</v>
      </c>
      <c r="G19" s="88">
        <f>SUM(G17:G18)*0.05</f>
        <v>8583.3333333333339</v>
      </c>
      <c r="H19" s="85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</row>
    <row r="20" spans="1:33" ht="60" customHeight="1" x14ac:dyDescent="0.55000000000000004">
      <c r="A20" s="79"/>
      <c r="B20" s="4"/>
      <c r="C20" s="4"/>
      <c r="D20" s="82"/>
      <c r="E20" s="82"/>
      <c r="F20" s="87" t="s">
        <v>41</v>
      </c>
      <c r="G20" s="90">
        <f>SUM(G17:G19)</f>
        <v>180250</v>
      </c>
      <c r="H20" s="85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</row>
    <row r="21" spans="1:33" ht="55.7" customHeight="1" x14ac:dyDescent="0.55000000000000004">
      <c r="A21" s="3" t="s">
        <v>42</v>
      </c>
      <c r="B21" s="4"/>
      <c r="C21" s="4"/>
      <c r="D21" s="4"/>
      <c r="E21" s="4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33" ht="55.7" customHeight="1" x14ac:dyDescent="0.55000000000000004">
      <c r="A22" s="3" t="s">
        <v>43</v>
      </c>
      <c r="B22" s="24"/>
      <c r="C22" s="24"/>
      <c r="D22" s="24"/>
      <c r="E22" s="24"/>
      <c r="F22" s="91"/>
      <c r="G22" s="91"/>
      <c r="H22" s="91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</row>
    <row r="23" spans="1:33" ht="55.7" customHeight="1" x14ac:dyDescent="0.55000000000000004">
      <c r="A23" s="3" t="s">
        <v>44</v>
      </c>
      <c r="B23" s="93"/>
      <c r="C23" s="24"/>
      <c r="D23" s="24"/>
      <c r="E23" s="24"/>
      <c r="F23" s="91"/>
      <c r="G23" s="91"/>
      <c r="H23" s="91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</row>
    <row r="24" spans="1:33" ht="55.7" customHeight="1" x14ac:dyDescent="0.55000000000000004">
      <c r="A24" s="3" t="s">
        <v>45</v>
      </c>
      <c r="B24" s="94"/>
      <c r="C24" s="24"/>
      <c r="D24" s="24"/>
      <c r="E24" s="24"/>
      <c r="F24" s="91"/>
      <c r="G24" s="91"/>
      <c r="H24" s="91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</row>
    <row r="25" spans="1:33" ht="55.7" customHeight="1" x14ac:dyDescent="0.55000000000000004">
      <c r="A25" s="24"/>
      <c r="B25" s="24"/>
      <c r="C25" s="24"/>
      <c r="D25" s="24"/>
      <c r="E25" s="24"/>
      <c r="F25" s="91"/>
      <c r="G25" s="91"/>
      <c r="H25" s="91"/>
      <c r="I25" s="95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</row>
    <row r="26" spans="1:33" ht="55.7" customHeight="1" x14ac:dyDescent="0.55000000000000004">
      <c r="A26" s="24"/>
      <c r="B26" s="93"/>
      <c r="C26" s="24"/>
      <c r="D26" s="24"/>
      <c r="E26" s="24"/>
      <c r="F26" s="91"/>
      <c r="G26" s="91"/>
      <c r="H26" s="91"/>
      <c r="I26" s="95"/>
      <c r="J26" s="77"/>
      <c r="K26" s="77"/>
      <c r="L26" s="77"/>
      <c r="M26" s="77"/>
      <c r="N26" s="77"/>
      <c r="O26" s="77"/>
      <c r="P26" s="77"/>
      <c r="Q26" s="77"/>
      <c r="R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</row>
    <row r="27" spans="1:33" ht="27.7" x14ac:dyDescent="0.55000000000000004">
      <c r="A27" s="24"/>
      <c r="B27" s="94"/>
      <c r="C27" s="24"/>
      <c r="D27" s="24"/>
      <c r="E27" s="24"/>
      <c r="F27" s="91"/>
      <c r="G27" s="91"/>
      <c r="H27" s="91"/>
      <c r="I27" s="77"/>
      <c r="J27" s="77"/>
      <c r="K27" s="77"/>
      <c r="L27" s="77"/>
      <c r="M27" s="77"/>
      <c r="N27" s="77"/>
      <c r="O27" s="77"/>
      <c r="P27" s="77"/>
      <c r="Q27" s="77"/>
      <c r="R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</row>
    <row r="28" spans="1:33" ht="25.7" x14ac:dyDescent="0.55000000000000004">
      <c r="F28" s="91"/>
      <c r="G28" s="91"/>
      <c r="H28" s="91"/>
    </row>
  </sheetData>
  <mergeCells count="21">
    <mergeCell ref="I12:AC12"/>
    <mergeCell ref="I13:AC13"/>
    <mergeCell ref="B14:C14"/>
    <mergeCell ref="I15:Z15"/>
    <mergeCell ref="AA15:AC15"/>
    <mergeCell ref="I17:Z17"/>
    <mergeCell ref="AA17:AC17"/>
    <mergeCell ref="H8:H10"/>
    <mergeCell ref="A11:A14"/>
    <mergeCell ref="B11:B13"/>
    <mergeCell ref="C11:C13"/>
    <mergeCell ref="E11:E13"/>
    <mergeCell ref="H11:H13"/>
    <mergeCell ref="D7:G7"/>
    <mergeCell ref="A8:A10"/>
    <mergeCell ref="B8:B10"/>
    <mergeCell ref="C8:C10"/>
    <mergeCell ref="D8:D10"/>
    <mergeCell ref="E8:E10"/>
    <mergeCell ref="F8:F10"/>
    <mergeCell ref="G8:G10"/>
  </mergeCells>
  <phoneticPr fontId="4" type="noConversion"/>
  <pageMargins left="0.31496062992125984" right="0.31496062992125984" top="0.74803149606299213" bottom="0.74803149606299213" header="0.31496062992125984" footer="0.31496062992125984"/>
  <pageSetup paperSize="9" scale="3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A146-F03D-43D7-82CB-7B1EE3F32332}">
  <sheetPr>
    <tabColor rgb="FFFFFF00"/>
    <pageSetUpPr fitToPage="1"/>
  </sheetPr>
  <dimension ref="A1:AG28"/>
  <sheetViews>
    <sheetView showGridLines="0" view="pageBreakPreview" zoomScale="40" zoomScaleNormal="60" zoomScaleSheetLayoutView="40" workbookViewId="0">
      <selection activeCell="D13" sqref="D13"/>
    </sheetView>
  </sheetViews>
  <sheetFormatPr defaultColWidth="8.87890625" defaultRowHeight="15.7" x14ac:dyDescent="0.55000000000000004"/>
  <cols>
    <col min="1" max="1" width="43.87890625" style="97" customWidth="1"/>
    <col min="2" max="2" width="22" style="97" customWidth="1"/>
    <col min="3" max="3" width="38.76171875" style="97" customWidth="1"/>
    <col min="4" max="4" width="25.76171875" style="97" customWidth="1"/>
    <col min="5" max="5" width="23.1171875" style="97" customWidth="1"/>
    <col min="6" max="6" width="22.64453125" style="98" customWidth="1"/>
    <col min="7" max="7" width="30.64453125" style="98" customWidth="1"/>
    <col min="8" max="8" width="26.64453125" style="98" customWidth="1"/>
    <col min="9" max="29" width="10.3515625" style="96" customWidth="1"/>
    <col min="30" max="230" width="8.87890625" style="79"/>
    <col min="231" max="231" width="14.3515625" style="79" customWidth="1"/>
    <col min="232" max="232" width="21.87890625" style="79" customWidth="1"/>
    <col min="233" max="233" width="16" style="79" customWidth="1"/>
    <col min="234" max="234" width="54" style="79" customWidth="1"/>
    <col min="235" max="235" width="22.1171875" style="79" customWidth="1"/>
    <col min="236" max="236" width="21.46875" style="79" customWidth="1"/>
    <col min="237" max="237" width="17.87890625" style="79" customWidth="1"/>
    <col min="238" max="238" width="17" style="79" customWidth="1"/>
    <col min="239" max="240" width="28.1171875" style="79" customWidth="1"/>
    <col min="241" max="241" width="26.46875" style="79" customWidth="1"/>
    <col min="242" max="258" width="11.64453125" style="79" customWidth="1"/>
    <col min="259" max="259" width="16.3515625" style="79" customWidth="1"/>
    <col min="260" max="260" width="13.87890625" style="79" customWidth="1"/>
    <col min="261" max="264" width="11.64453125" style="79" customWidth="1"/>
    <col min="265" max="265" width="20.1171875" style="79" customWidth="1"/>
    <col min="266" max="267" width="2.64453125" style="79" customWidth="1"/>
    <col min="268" max="486" width="8.87890625" style="79"/>
    <col min="487" max="487" width="14.3515625" style="79" customWidth="1"/>
    <col min="488" max="488" width="21.87890625" style="79" customWidth="1"/>
    <col min="489" max="489" width="16" style="79" customWidth="1"/>
    <col min="490" max="490" width="54" style="79" customWidth="1"/>
    <col min="491" max="491" width="22.1171875" style="79" customWidth="1"/>
    <col min="492" max="492" width="21.46875" style="79" customWidth="1"/>
    <col min="493" max="493" width="17.87890625" style="79" customWidth="1"/>
    <col min="494" max="494" width="17" style="79" customWidth="1"/>
    <col min="495" max="496" width="28.1171875" style="79" customWidth="1"/>
    <col min="497" max="497" width="26.46875" style="79" customWidth="1"/>
    <col min="498" max="514" width="11.64453125" style="79" customWidth="1"/>
    <col min="515" max="515" width="16.3515625" style="79" customWidth="1"/>
    <col min="516" max="516" width="13.87890625" style="79" customWidth="1"/>
    <col min="517" max="520" width="11.64453125" style="79" customWidth="1"/>
    <col min="521" max="521" width="20.1171875" style="79" customWidth="1"/>
    <col min="522" max="523" width="2.64453125" style="79" customWidth="1"/>
    <col min="524" max="742" width="8.87890625" style="79"/>
    <col min="743" max="743" width="14.3515625" style="79" customWidth="1"/>
    <col min="744" max="744" width="21.87890625" style="79" customWidth="1"/>
    <col min="745" max="745" width="16" style="79" customWidth="1"/>
    <col min="746" max="746" width="54" style="79" customWidth="1"/>
    <col min="747" max="747" width="22.1171875" style="79" customWidth="1"/>
    <col min="748" max="748" width="21.46875" style="79" customWidth="1"/>
    <col min="749" max="749" width="17.87890625" style="79" customWidth="1"/>
    <col min="750" max="750" width="17" style="79" customWidth="1"/>
    <col min="751" max="752" width="28.1171875" style="79" customWidth="1"/>
    <col min="753" max="753" width="26.46875" style="79" customWidth="1"/>
    <col min="754" max="770" width="11.64453125" style="79" customWidth="1"/>
    <col min="771" max="771" width="16.3515625" style="79" customWidth="1"/>
    <col min="772" max="772" width="13.87890625" style="79" customWidth="1"/>
    <col min="773" max="776" width="11.64453125" style="79" customWidth="1"/>
    <col min="777" max="777" width="20.1171875" style="79" customWidth="1"/>
    <col min="778" max="779" width="2.64453125" style="79" customWidth="1"/>
    <col min="780" max="998" width="8.87890625" style="79"/>
    <col min="999" max="999" width="14.3515625" style="79" customWidth="1"/>
    <col min="1000" max="1000" width="21.87890625" style="79" customWidth="1"/>
    <col min="1001" max="1001" width="16" style="79" customWidth="1"/>
    <col min="1002" max="1002" width="54" style="79" customWidth="1"/>
    <col min="1003" max="1003" width="22.1171875" style="79" customWidth="1"/>
    <col min="1004" max="1004" width="21.46875" style="79" customWidth="1"/>
    <col min="1005" max="1005" width="17.87890625" style="79" customWidth="1"/>
    <col min="1006" max="1006" width="17" style="79" customWidth="1"/>
    <col min="1007" max="1008" width="28.1171875" style="79" customWidth="1"/>
    <col min="1009" max="1009" width="26.46875" style="79" customWidth="1"/>
    <col min="1010" max="1026" width="11.64453125" style="79" customWidth="1"/>
    <col min="1027" max="1027" width="16.3515625" style="79" customWidth="1"/>
    <col min="1028" max="1028" width="13.87890625" style="79" customWidth="1"/>
    <col min="1029" max="1032" width="11.64453125" style="79" customWidth="1"/>
    <col min="1033" max="1033" width="20.1171875" style="79" customWidth="1"/>
    <col min="1034" max="1035" width="2.64453125" style="79" customWidth="1"/>
    <col min="1036" max="1254" width="8.87890625" style="79"/>
    <col min="1255" max="1255" width="14.3515625" style="79" customWidth="1"/>
    <col min="1256" max="1256" width="21.87890625" style="79" customWidth="1"/>
    <col min="1257" max="1257" width="16" style="79" customWidth="1"/>
    <col min="1258" max="1258" width="54" style="79" customWidth="1"/>
    <col min="1259" max="1259" width="22.1171875" style="79" customWidth="1"/>
    <col min="1260" max="1260" width="21.46875" style="79" customWidth="1"/>
    <col min="1261" max="1261" width="17.87890625" style="79" customWidth="1"/>
    <col min="1262" max="1262" width="17" style="79" customWidth="1"/>
    <col min="1263" max="1264" width="28.1171875" style="79" customWidth="1"/>
    <col min="1265" max="1265" width="26.46875" style="79" customWidth="1"/>
    <col min="1266" max="1282" width="11.64453125" style="79" customWidth="1"/>
    <col min="1283" max="1283" width="16.3515625" style="79" customWidth="1"/>
    <col min="1284" max="1284" width="13.87890625" style="79" customWidth="1"/>
    <col min="1285" max="1288" width="11.64453125" style="79" customWidth="1"/>
    <col min="1289" max="1289" width="20.1171875" style="79" customWidth="1"/>
    <col min="1290" max="1291" width="2.64453125" style="79" customWidth="1"/>
    <col min="1292" max="1510" width="8.87890625" style="79"/>
    <col min="1511" max="1511" width="14.3515625" style="79" customWidth="1"/>
    <col min="1512" max="1512" width="21.87890625" style="79" customWidth="1"/>
    <col min="1513" max="1513" width="16" style="79" customWidth="1"/>
    <col min="1514" max="1514" width="54" style="79" customWidth="1"/>
    <col min="1515" max="1515" width="22.1171875" style="79" customWidth="1"/>
    <col min="1516" max="1516" width="21.46875" style="79" customWidth="1"/>
    <col min="1517" max="1517" width="17.87890625" style="79" customWidth="1"/>
    <col min="1518" max="1518" width="17" style="79" customWidth="1"/>
    <col min="1519" max="1520" width="28.1171875" style="79" customWidth="1"/>
    <col min="1521" max="1521" width="26.46875" style="79" customWidth="1"/>
    <col min="1522" max="1538" width="11.64453125" style="79" customWidth="1"/>
    <col min="1539" max="1539" width="16.3515625" style="79" customWidth="1"/>
    <col min="1540" max="1540" width="13.87890625" style="79" customWidth="1"/>
    <col min="1541" max="1544" width="11.64453125" style="79" customWidth="1"/>
    <col min="1545" max="1545" width="20.1171875" style="79" customWidth="1"/>
    <col min="1546" max="1547" width="2.64453125" style="79" customWidth="1"/>
    <col min="1548" max="1766" width="8.87890625" style="79"/>
    <col min="1767" max="1767" width="14.3515625" style="79" customWidth="1"/>
    <col min="1768" max="1768" width="21.87890625" style="79" customWidth="1"/>
    <col min="1769" max="1769" width="16" style="79" customWidth="1"/>
    <col min="1770" max="1770" width="54" style="79" customWidth="1"/>
    <col min="1771" max="1771" width="22.1171875" style="79" customWidth="1"/>
    <col min="1772" max="1772" width="21.46875" style="79" customWidth="1"/>
    <col min="1773" max="1773" width="17.87890625" style="79" customWidth="1"/>
    <col min="1774" max="1774" width="17" style="79" customWidth="1"/>
    <col min="1775" max="1776" width="28.1171875" style="79" customWidth="1"/>
    <col min="1777" max="1777" width="26.46875" style="79" customWidth="1"/>
    <col min="1778" max="1794" width="11.64453125" style="79" customWidth="1"/>
    <col min="1795" max="1795" width="16.3515625" style="79" customWidth="1"/>
    <col min="1796" max="1796" width="13.87890625" style="79" customWidth="1"/>
    <col min="1797" max="1800" width="11.64453125" style="79" customWidth="1"/>
    <col min="1801" max="1801" width="20.1171875" style="79" customWidth="1"/>
    <col min="1802" max="1803" width="2.64453125" style="79" customWidth="1"/>
    <col min="1804" max="2022" width="8.87890625" style="79"/>
    <col min="2023" max="2023" width="14.3515625" style="79" customWidth="1"/>
    <col min="2024" max="2024" width="21.87890625" style="79" customWidth="1"/>
    <col min="2025" max="2025" width="16" style="79" customWidth="1"/>
    <col min="2026" max="2026" width="54" style="79" customWidth="1"/>
    <col min="2027" max="2027" width="22.1171875" style="79" customWidth="1"/>
    <col min="2028" max="2028" width="21.46875" style="79" customWidth="1"/>
    <col min="2029" max="2029" width="17.87890625" style="79" customWidth="1"/>
    <col min="2030" max="2030" width="17" style="79" customWidth="1"/>
    <col min="2031" max="2032" width="28.1171875" style="79" customWidth="1"/>
    <col min="2033" max="2033" width="26.46875" style="79" customWidth="1"/>
    <col min="2034" max="2050" width="11.64453125" style="79" customWidth="1"/>
    <col min="2051" max="2051" width="16.3515625" style="79" customWidth="1"/>
    <col min="2052" max="2052" width="13.87890625" style="79" customWidth="1"/>
    <col min="2053" max="2056" width="11.64453125" style="79" customWidth="1"/>
    <col min="2057" max="2057" width="20.1171875" style="79" customWidth="1"/>
    <col min="2058" max="2059" width="2.64453125" style="79" customWidth="1"/>
    <col min="2060" max="2278" width="8.87890625" style="79"/>
    <col min="2279" max="2279" width="14.3515625" style="79" customWidth="1"/>
    <col min="2280" max="2280" width="21.87890625" style="79" customWidth="1"/>
    <col min="2281" max="2281" width="16" style="79" customWidth="1"/>
    <col min="2282" max="2282" width="54" style="79" customWidth="1"/>
    <col min="2283" max="2283" width="22.1171875" style="79" customWidth="1"/>
    <col min="2284" max="2284" width="21.46875" style="79" customWidth="1"/>
    <col min="2285" max="2285" width="17.87890625" style="79" customWidth="1"/>
    <col min="2286" max="2286" width="17" style="79" customWidth="1"/>
    <col min="2287" max="2288" width="28.1171875" style="79" customWidth="1"/>
    <col min="2289" max="2289" width="26.46875" style="79" customWidth="1"/>
    <col min="2290" max="2306" width="11.64453125" style="79" customWidth="1"/>
    <col min="2307" max="2307" width="16.3515625" style="79" customWidth="1"/>
    <col min="2308" max="2308" width="13.87890625" style="79" customWidth="1"/>
    <col min="2309" max="2312" width="11.64453125" style="79" customWidth="1"/>
    <col min="2313" max="2313" width="20.1171875" style="79" customWidth="1"/>
    <col min="2314" max="2315" width="2.64453125" style="79" customWidth="1"/>
    <col min="2316" max="2534" width="8.87890625" style="79"/>
    <col min="2535" max="2535" width="14.3515625" style="79" customWidth="1"/>
    <col min="2536" max="2536" width="21.87890625" style="79" customWidth="1"/>
    <col min="2537" max="2537" width="16" style="79" customWidth="1"/>
    <col min="2538" max="2538" width="54" style="79" customWidth="1"/>
    <col min="2539" max="2539" width="22.1171875" style="79" customWidth="1"/>
    <col min="2540" max="2540" width="21.46875" style="79" customWidth="1"/>
    <col min="2541" max="2541" width="17.87890625" style="79" customWidth="1"/>
    <col min="2542" max="2542" width="17" style="79" customWidth="1"/>
    <col min="2543" max="2544" width="28.1171875" style="79" customWidth="1"/>
    <col min="2545" max="2545" width="26.46875" style="79" customWidth="1"/>
    <col min="2546" max="2562" width="11.64453125" style="79" customWidth="1"/>
    <col min="2563" max="2563" width="16.3515625" style="79" customWidth="1"/>
    <col min="2564" max="2564" width="13.87890625" style="79" customWidth="1"/>
    <col min="2565" max="2568" width="11.64453125" style="79" customWidth="1"/>
    <col min="2569" max="2569" width="20.1171875" style="79" customWidth="1"/>
    <col min="2570" max="2571" width="2.64453125" style="79" customWidth="1"/>
    <col min="2572" max="2790" width="8.87890625" style="79"/>
    <col min="2791" max="2791" width="14.3515625" style="79" customWidth="1"/>
    <col min="2792" max="2792" width="21.87890625" style="79" customWidth="1"/>
    <col min="2793" max="2793" width="16" style="79" customWidth="1"/>
    <col min="2794" max="2794" width="54" style="79" customWidth="1"/>
    <col min="2795" max="2795" width="22.1171875" style="79" customWidth="1"/>
    <col min="2796" max="2796" width="21.46875" style="79" customWidth="1"/>
    <col min="2797" max="2797" width="17.87890625" style="79" customWidth="1"/>
    <col min="2798" max="2798" width="17" style="79" customWidth="1"/>
    <col min="2799" max="2800" width="28.1171875" style="79" customWidth="1"/>
    <col min="2801" max="2801" width="26.46875" style="79" customWidth="1"/>
    <col min="2802" max="2818" width="11.64453125" style="79" customWidth="1"/>
    <col min="2819" max="2819" width="16.3515625" style="79" customWidth="1"/>
    <col min="2820" max="2820" width="13.87890625" style="79" customWidth="1"/>
    <col min="2821" max="2824" width="11.64453125" style="79" customWidth="1"/>
    <col min="2825" max="2825" width="20.1171875" style="79" customWidth="1"/>
    <col min="2826" max="2827" width="2.64453125" style="79" customWidth="1"/>
    <col min="2828" max="3046" width="8.87890625" style="79"/>
    <col min="3047" max="3047" width="14.3515625" style="79" customWidth="1"/>
    <col min="3048" max="3048" width="21.87890625" style="79" customWidth="1"/>
    <col min="3049" max="3049" width="16" style="79" customWidth="1"/>
    <col min="3050" max="3050" width="54" style="79" customWidth="1"/>
    <col min="3051" max="3051" width="22.1171875" style="79" customWidth="1"/>
    <col min="3052" max="3052" width="21.46875" style="79" customWidth="1"/>
    <col min="3053" max="3053" width="17.87890625" style="79" customWidth="1"/>
    <col min="3054" max="3054" width="17" style="79" customWidth="1"/>
    <col min="3055" max="3056" width="28.1171875" style="79" customWidth="1"/>
    <col min="3057" max="3057" width="26.46875" style="79" customWidth="1"/>
    <col min="3058" max="3074" width="11.64453125" style="79" customWidth="1"/>
    <col min="3075" max="3075" width="16.3515625" style="79" customWidth="1"/>
    <col min="3076" max="3076" width="13.87890625" style="79" customWidth="1"/>
    <col min="3077" max="3080" width="11.64453125" style="79" customWidth="1"/>
    <col min="3081" max="3081" width="20.1171875" style="79" customWidth="1"/>
    <col min="3082" max="3083" width="2.64453125" style="79" customWidth="1"/>
    <col min="3084" max="3302" width="8.87890625" style="79"/>
    <col min="3303" max="3303" width="14.3515625" style="79" customWidth="1"/>
    <col min="3304" max="3304" width="21.87890625" style="79" customWidth="1"/>
    <col min="3305" max="3305" width="16" style="79" customWidth="1"/>
    <col min="3306" max="3306" width="54" style="79" customWidth="1"/>
    <col min="3307" max="3307" width="22.1171875" style="79" customWidth="1"/>
    <col min="3308" max="3308" width="21.46875" style="79" customWidth="1"/>
    <col min="3309" max="3309" width="17.87890625" style="79" customWidth="1"/>
    <col min="3310" max="3310" width="17" style="79" customWidth="1"/>
    <col min="3311" max="3312" width="28.1171875" style="79" customWidth="1"/>
    <col min="3313" max="3313" width="26.46875" style="79" customWidth="1"/>
    <col min="3314" max="3330" width="11.64453125" style="79" customWidth="1"/>
    <col min="3331" max="3331" width="16.3515625" style="79" customWidth="1"/>
    <col min="3332" max="3332" width="13.87890625" style="79" customWidth="1"/>
    <col min="3333" max="3336" width="11.64453125" style="79" customWidth="1"/>
    <col min="3337" max="3337" width="20.1171875" style="79" customWidth="1"/>
    <col min="3338" max="3339" width="2.64453125" style="79" customWidth="1"/>
    <col min="3340" max="3558" width="8.87890625" style="79"/>
    <col min="3559" max="3559" width="14.3515625" style="79" customWidth="1"/>
    <col min="3560" max="3560" width="21.87890625" style="79" customWidth="1"/>
    <col min="3561" max="3561" width="16" style="79" customWidth="1"/>
    <col min="3562" max="3562" width="54" style="79" customWidth="1"/>
    <col min="3563" max="3563" width="22.1171875" style="79" customWidth="1"/>
    <col min="3564" max="3564" width="21.46875" style="79" customWidth="1"/>
    <col min="3565" max="3565" width="17.87890625" style="79" customWidth="1"/>
    <col min="3566" max="3566" width="17" style="79" customWidth="1"/>
    <col min="3567" max="3568" width="28.1171875" style="79" customWidth="1"/>
    <col min="3569" max="3569" width="26.46875" style="79" customWidth="1"/>
    <col min="3570" max="3586" width="11.64453125" style="79" customWidth="1"/>
    <col min="3587" max="3587" width="16.3515625" style="79" customWidth="1"/>
    <col min="3588" max="3588" width="13.87890625" style="79" customWidth="1"/>
    <col min="3589" max="3592" width="11.64453125" style="79" customWidth="1"/>
    <col min="3593" max="3593" width="20.1171875" style="79" customWidth="1"/>
    <col min="3594" max="3595" width="2.64453125" style="79" customWidth="1"/>
    <col min="3596" max="3814" width="8.87890625" style="79"/>
    <col min="3815" max="3815" width="14.3515625" style="79" customWidth="1"/>
    <col min="3816" max="3816" width="21.87890625" style="79" customWidth="1"/>
    <col min="3817" max="3817" width="16" style="79" customWidth="1"/>
    <col min="3818" max="3818" width="54" style="79" customWidth="1"/>
    <col min="3819" max="3819" width="22.1171875" style="79" customWidth="1"/>
    <col min="3820" max="3820" width="21.46875" style="79" customWidth="1"/>
    <col min="3821" max="3821" width="17.87890625" style="79" customWidth="1"/>
    <col min="3822" max="3822" width="17" style="79" customWidth="1"/>
    <col min="3823" max="3824" width="28.1171875" style="79" customWidth="1"/>
    <col min="3825" max="3825" width="26.46875" style="79" customWidth="1"/>
    <col min="3826" max="3842" width="11.64453125" style="79" customWidth="1"/>
    <col min="3843" max="3843" width="16.3515625" style="79" customWidth="1"/>
    <col min="3844" max="3844" width="13.87890625" style="79" customWidth="1"/>
    <col min="3845" max="3848" width="11.64453125" style="79" customWidth="1"/>
    <col min="3849" max="3849" width="20.1171875" style="79" customWidth="1"/>
    <col min="3850" max="3851" width="2.64453125" style="79" customWidth="1"/>
    <col min="3852" max="4070" width="8.87890625" style="79"/>
    <col min="4071" max="4071" width="14.3515625" style="79" customWidth="1"/>
    <col min="4072" max="4072" width="21.87890625" style="79" customWidth="1"/>
    <col min="4073" max="4073" width="16" style="79" customWidth="1"/>
    <col min="4074" max="4074" width="54" style="79" customWidth="1"/>
    <col min="4075" max="4075" width="22.1171875" style="79" customWidth="1"/>
    <col min="4076" max="4076" width="21.46875" style="79" customWidth="1"/>
    <col min="4077" max="4077" width="17.87890625" style="79" customWidth="1"/>
    <col min="4078" max="4078" width="17" style="79" customWidth="1"/>
    <col min="4079" max="4080" width="28.1171875" style="79" customWidth="1"/>
    <col min="4081" max="4081" width="26.46875" style="79" customWidth="1"/>
    <col min="4082" max="4098" width="11.64453125" style="79" customWidth="1"/>
    <col min="4099" max="4099" width="16.3515625" style="79" customWidth="1"/>
    <col min="4100" max="4100" width="13.87890625" style="79" customWidth="1"/>
    <col min="4101" max="4104" width="11.64453125" style="79" customWidth="1"/>
    <col min="4105" max="4105" width="20.1171875" style="79" customWidth="1"/>
    <col min="4106" max="4107" width="2.64453125" style="79" customWidth="1"/>
    <col min="4108" max="4326" width="8.87890625" style="79"/>
    <col min="4327" max="4327" width="14.3515625" style="79" customWidth="1"/>
    <col min="4328" max="4328" width="21.87890625" style="79" customWidth="1"/>
    <col min="4329" max="4329" width="16" style="79" customWidth="1"/>
    <col min="4330" max="4330" width="54" style="79" customWidth="1"/>
    <col min="4331" max="4331" width="22.1171875" style="79" customWidth="1"/>
    <col min="4332" max="4332" width="21.46875" style="79" customWidth="1"/>
    <col min="4333" max="4333" width="17.87890625" style="79" customWidth="1"/>
    <col min="4334" max="4334" width="17" style="79" customWidth="1"/>
    <col min="4335" max="4336" width="28.1171875" style="79" customWidth="1"/>
    <col min="4337" max="4337" width="26.46875" style="79" customWidth="1"/>
    <col min="4338" max="4354" width="11.64453125" style="79" customWidth="1"/>
    <col min="4355" max="4355" width="16.3515625" style="79" customWidth="1"/>
    <col min="4356" max="4356" width="13.87890625" style="79" customWidth="1"/>
    <col min="4357" max="4360" width="11.64453125" style="79" customWidth="1"/>
    <col min="4361" max="4361" width="20.1171875" style="79" customWidth="1"/>
    <col min="4362" max="4363" width="2.64453125" style="79" customWidth="1"/>
    <col min="4364" max="4582" width="8.87890625" style="79"/>
    <col min="4583" max="4583" width="14.3515625" style="79" customWidth="1"/>
    <col min="4584" max="4584" width="21.87890625" style="79" customWidth="1"/>
    <col min="4585" max="4585" width="16" style="79" customWidth="1"/>
    <col min="4586" max="4586" width="54" style="79" customWidth="1"/>
    <col min="4587" max="4587" width="22.1171875" style="79" customWidth="1"/>
    <col min="4588" max="4588" width="21.46875" style="79" customWidth="1"/>
    <col min="4589" max="4589" width="17.87890625" style="79" customWidth="1"/>
    <col min="4590" max="4590" width="17" style="79" customWidth="1"/>
    <col min="4591" max="4592" width="28.1171875" style="79" customWidth="1"/>
    <col min="4593" max="4593" width="26.46875" style="79" customWidth="1"/>
    <col min="4594" max="4610" width="11.64453125" style="79" customWidth="1"/>
    <col min="4611" max="4611" width="16.3515625" style="79" customWidth="1"/>
    <col min="4612" max="4612" width="13.87890625" style="79" customWidth="1"/>
    <col min="4613" max="4616" width="11.64453125" style="79" customWidth="1"/>
    <col min="4617" max="4617" width="20.1171875" style="79" customWidth="1"/>
    <col min="4618" max="4619" width="2.64453125" style="79" customWidth="1"/>
    <col min="4620" max="4838" width="8.87890625" style="79"/>
    <col min="4839" max="4839" width="14.3515625" style="79" customWidth="1"/>
    <col min="4840" max="4840" width="21.87890625" style="79" customWidth="1"/>
    <col min="4841" max="4841" width="16" style="79" customWidth="1"/>
    <col min="4842" max="4842" width="54" style="79" customWidth="1"/>
    <col min="4843" max="4843" width="22.1171875" style="79" customWidth="1"/>
    <col min="4844" max="4844" width="21.46875" style="79" customWidth="1"/>
    <col min="4845" max="4845" width="17.87890625" style="79" customWidth="1"/>
    <col min="4846" max="4846" width="17" style="79" customWidth="1"/>
    <col min="4847" max="4848" width="28.1171875" style="79" customWidth="1"/>
    <col min="4849" max="4849" width="26.46875" style="79" customWidth="1"/>
    <col min="4850" max="4866" width="11.64453125" style="79" customWidth="1"/>
    <col min="4867" max="4867" width="16.3515625" style="79" customWidth="1"/>
    <col min="4868" max="4868" width="13.87890625" style="79" customWidth="1"/>
    <col min="4869" max="4872" width="11.64453125" style="79" customWidth="1"/>
    <col min="4873" max="4873" width="20.1171875" style="79" customWidth="1"/>
    <col min="4874" max="4875" width="2.64453125" style="79" customWidth="1"/>
    <col min="4876" max="5094" width="8.87890625" style="79"/>
    <col min="5095" max="5095" width="14.3515625" style="79" customWidth="1"/>
    <col min="5096" max="5096" width="21.87890625" style="79" customWidth="1"/>
    <col min="5097" max="5097" width="16" style="79" customWidth="1"/>
    <col min="5098" max="5098" width="54" style="79" customWidth="1"/>
    <col min="5099" max="5099" width="22.1171875" style="79" customWidth="1"/>
    <col min="5100" max="5100" width="21.46875" style="79" customWidth="1"/>
    <col min="5101" max="5101" width="17.87890625" style="79" customWidth="1"/>
    <col min="5102" max="5102" width="17" style="79" customWidth="1"/>
    <col min="5103" max="5104" width="28.1171875" style="79" customWidth="1"/>
    <col min="5105" max="5105" width="26.46875" style="79" customWidth="1"/>
    <col min="5106" max="5122" width="11.64453125" style="79" customWidth="1"/>
    <col min="5123" max="5123" width="16.3515625" style="79" customWidth="1"/>
    <col min="5124" max="5124" width="13.87890625" style="79" customWidth="1"/>
    <col min="5125" max="5128" width="11.64453125" style="79" customWidth="1"/>
    <col min="5129" max="5129" width="20.1171875" style="79" customWidth="1"/>
    <col min="5130" max="5131" width="2.64453125" style="79" customWidth="1"/>
    <col min="5132" max="5350" width="8.87890625" style="79"/>
    <col min="5351" max="5351" width="14.3515625" style="79" customWidth="1"/>
    <col min="5352" max="5352" width="21.87890625" style="79" customWidth="1"/>
    <col min="5353" max="5353" width="16" style="79" customWidth="1"/>
    <col min="5354" max="5354" width="54" style="79" customWidth="1"/>
    <col min="5355" max="5355" width="22.1171875" style="79" customWidth="1"/>
    <col min="5356" max="5356" width="21.46875" style="79" customWidth="1"/>
    <col min="5357" max="5357" width="17.87890625" style="79" customWidth="1"/>
    <col min="5358" max="5358" width="17" style="79" customWidth="1"/>
    <col min="5359" max="5360" width="28.1171875" style="79" customWidth="1"/>
    <col min="5361" max="5361" width="26.46875" style="79" customWidth="1"/>
    <col min="5362" max="5378" width="11.64453125" style="79" customWidth="1"/>
    <col min="5379" max="5379" width="16.3515625" style="79" customWidth="1"/>
    <col min="5380" max="5380" width="13.87890625" style="79" customWidth="1"/>
    <col min="5381" max="5384" width="11.64453125" style="79" customWidth="1"/>
    <col min="5385" max="5385" width="20.1171875" style="79" customWidth="1"/>
    <col min="5386" max="5387" width="2.64453125" style="79" customWidth="1"/>
    <col min="5388" max="5606" width="8.87890625" style="79"/>
    <col min="5607" max="5607" width="14.3515625" style="79" customWidth="1"/>
    <col min="5608" max="5608" width="21.87890625" style="79" customWidth="1"/>
    <col min="5609" max="5609" width="16" style="79" customWidth="1"/>
    <col min="5610" max="5610" width="54" style="79" customWidth="1"/>
    <col min="5611" max="5611" width="22.1171875" style="79" customWidth="1"/>
    <col min="5612" max="5612" width="21.46875" style="79" customWidth="1"/>
    <col min="5613" max="5613" width="17.87890625" style="79" customWidth="1"/>
    <col min="5614" max="5614" width="17" style="79" customWidth="1"/>
    <col min="5615" max="5616" width="28.1171875" style="79" customWidth="1"/>
    <col min="5617" max="5617" width="26.46875" style="79" customWidth="1"/>
    <col min="5618" max="5634" width="11.64453125" style="79" customWidth="1"/>
    <col min="5635" max="5635" width="16.3515625" style="79" customWidth="1"/>
    <col min="5636" max="5636" width="13.87890625" style="79" customWidth="1"/>
    <col min="5637" max="5640" width="11.64453125" style="79" customWidth="1"/>
    <col min="5641" max="5641" width="20.1171875" style="79" customWidth="1"/>
    <col min="5642" max="5643" width="2.64453125" style="79" customWidth="1"/>
    <col min="5644" max="5862" width="8.87890625" style="79"/>
    <col min="5863" max="5863" width="14.3515625" style="79" customWidth="1"/>
    <col min="5864" max="5864" width="21.87890625" style="79" customWidth="1"/>
    <col min="5865" max="5865" width="16" style="79" customWidth="1"/>
    <col min="5866" max="5866" width="54" style="79" customWidth="1"/>
    <col min="5867" max="5867" width="22.1171875" style="79" customWidth="1"/>
    <col min="5868" max="5868" width="21.46875" style="79" customWidth="1"/>
    <col min="5869" max="5869" width="17.87890625" style="79" customWidth="1"/>
    <col min="5870" max="5870" width="17" style="79" customWidth="1"/>
    <col min="5871" max="5872" width="28.1171875" style="79" customWidth="1"/>
    <col min="5873" max="5873" width="26.46875" style="79" customWidth="1"/>
    <col min="5874" max="5890" width="11.64453125" style="79" customWidth="1"/>
    <col min="5891" max="5891" width="16.3515625" style="79" customWidth="1"/>
    <col min="5892" max="5892" width="13.87890625" style="79" customWidth="1"/>
    <col min="5893" max="5896" width="11.64453125" style="79" customWidth="1"/>
    <col min="5897" max="5897" width="20.1171875" style="79" customWidth="1"/>
    <col min="5898" max="5899" width="2.64453125" style="79" customWidth="1"/>
    <col min="5900" max="6118" width="8.87890625" style="79"/>
    <col min="6119" max="6119" width="14.3515625" style="79" customWidth="1"/>
    <col min="6120" max="6120" width="21.87890625" style="79" customWidth="1"/>
    <col min="6121" max="6121" width="16" style="79" customWidth="1"/>
    <col min="6122" max="6122" width="54" style="79" customWidth="1"/>
    <col min="6123" max="6123" width="22.1171875" style="79" customWidth="1"/>
    <col min="6124" max="6124" width="21.46875" style="79" customWidth="1"/>
    <col min="6125" max="6125" width="17.87890625" style="79" customWidth="1"/>
    <col min="6126" max="6126" width="17" style="79" customWidth="1"/>
    <col min="6127" max="6128" width="28.1171875" style="79" customWidth="1"/>
    <col min="6129" max="6129" width="26.46875" style="79" customWidth="1"/>
    <col min="6130" max="6146" width="11.64453125" style="79" customWidth="1"/>
    <col min="6147" max="6147" width="16.3515625" style="79" customWidth="1"/>
    <col min="6148" max="6148" width="13.87890625" style="79" customWidth="1"/>
    <col min="6149" max="6152" width="11.64453125" style="79" customWidth="1"/>
    <col min="6153" max="6153" width="20.1171875" style="79" customWidth="1"/>
    <col min="6154" max="6155" width="2.64453125" style="79" customWidth="1"/>
    <col min="6156" max="6374" width="8.87890625" style="79"/>
    <col min="6375" max="6375" width="14.3515625" style="79" customWidth="1"/>
    <col min="6376" max="6376" width="21.87890625" style="79" customWidth="1"/>
    <col min="6377" max="6377" width="16" style="79" customWidth="1"/>
    <col min="6378" max="6378" width="54" style="79" customWidth="1"/>
    <col min="6379" max="6379" width="22.1171875" style="79" customWidth="1"/>
    <col min="6380" max="6380" width="21.46875" style="79" customWidth="1"/>
    <col min="6381" max="6381" width="17.87890625" style="79" customWidth="1"/>
    <col min="6382" max="6382" width="17" style="79" customWidth="1"/>
    <col min="6383" max="6384" width="28.1171875" style="79" customWidth="1"/>
    <col min="6385" max="6385" width="26.46875" style="79" customWidth="1"/>
    <col min="6386" max="6402" width="11.64453125" style="79" customWidth="1"/>
    <col min="6403" max="6403" width="16.3515625" style="79" customWidth="1"/>
    <col min="6404" max="6404" width="13.87890625" style="79" customWidth="1"/>
    <col min="6405" max="6408" width="11.64453125" style="79" customWidth="1"/>
    <col min="6409" max="6409" width="20.1171875" style="79" customWidth="1"/>
    <col min="6410" max="6411" width="2.64453125" style="79" customWidth="1"/>
    <col min="6412" max="6630" width="8.87890625" style="79"/>
    <col min="6631" max="6631" width="14.3515625" style="79" customWidth="1"/>
    <col min="6632" max="6632" width="21.87890625" style="79" customWidth="1"/>
    <col min="6633" max="6633" width="16" style="79" customWidth="1"/>
    <col min="6634" max="6634" width="54" style="79" customWidth="1"/>
    <col min="6635" max="6635" width="22.1171875" style="79" customWidth="1"/>
    <col min="6636" max="6636" width="21.46875" style="79" customWidth="1"/>
    <col min="6637" max="6637" width="17.87890625" style="79" customWidth="1"/>
    <col min="6638" max="6638" width="17" style="79" customWidth="1"/>
    <col min="6639" max="6640" width="28.1171875" style="79" customWidth="1"/>
    <col min="6641" max="6641" width="26.46875" style="79" customWidth="1"/>
    <col min="6642" max="6658" width="11.64453125" style="79" customWidth="1"/>
    <col min="6659" max="6659" width="16.3515625" style="79" customWidth="1"/>
    <col min="6660" max="6660" width="13.87890625" style="79" customWidth="1"/>
    <col min="6661" max="6664" width="11.64453125" style="79" customWidth="1"/>
    <col min="6665" max="6665" width="20.1171875" style="79" customWidth="1"/>
    <col min="6666" max="6667" width="2.64453125" style="79" customWidth="1"/>
    <col min="6668" max="6886" width="8.87890625" style="79"/>
    <col min="6887" max="6887" width="14.3515625" style="79" customWidth="1"/>
    <col min="6888" max="6888" width="21.87890625" style="79" customWidth="1"/>
    <col min="6889" max="6889" width="16" style="79" customWidth="1"/>
    <col min="6890" max="6890" width="54" style="79" customWidth="1"/>
    <col min="6891" max="6891" width="22.1171875" style="79" customWidth="1"/>
    <col min="6892" max="6892" width="21.46875" style="79" customWidth="1"/>
    <col min="6893" max="6893" width="17.87890625" style="79" customWidth="1"/>
    <col min="6894" max="6894" width="17" style="79" customWidth="1"/>
    <col min="6895" max="6896" width="28.1171875" style="79" customWidth="1"/>
    <col min="6897" max="6897" width="26.46875" style="79" customWidth="1"/>
    <col min="6898" max="6914" width="11.64453125" style="79" customWidth="1"/>
    <col min="6915" max="6915" width="16.3515625" style="79" customWidth="1"/>
    <col min="6916" max="6916" width="13.87890625" style="79" customWidth="1"/>
    <col min="6917" max="6920" width="11.64453125" style="79" customWidth="1"/>
    <col min="6921" max="6921" width="20.1171875" style="79" customWidth="1"/>
    <col min="6922" max="6923" width="2.64453125" style="79" customWidth="1"/>
    <col min="6924" max="7142" width="8.87890625" style="79"/>
    <col min="7143" max="7143" width="14.3515625" style="79" customWidth="1"/>
    <col min="7144" max="7144" width="21.87890625" style="79" customWidth="1"/>
    <col min="7145" max="7145" width="16" style="79" customWidth="1"/>
    <col min="7146" max="7146" width="54" style="79" customWidth="1"/>
    <col min="7147" max="7147" width="22.1171875" style="79" customWidth="1"/>
    <col min="7148" max="7148" width="21.46875" style="79" customWidth="1"/>
    <col min="7149" max="7149" width="17.87890625" style="79" customWidth="1"/>
    <col min="7150" max="7150" width="17" style="79" customWidth="1"/>
    <col min="7151" max="7152" width="28.1171875" style="79" customWidth="1"/>
    <col min="7153" max="7153" width="26.46875" style="79" customWidth="1"/>
    <col min="7154" max="7170" width="11.64453125" style="79" customWidth="1"/>
    <col min="7171" max="7171" width="16.3515625" style="79" customWidth="1"/>
    <col min="7172" max="7172" width="13.87890625" style="79" customWidth="1"/>
    <col min="7173" max="7176" width="11.64453125" style="79" customWidth="1"/>
    <col min="7177" max="7177" width="20.1171875" style="79" customWidth="1"/>
    <col min="7178" max="7179" width="2.64453125" style="79" customWidth="1"/>
    <col min="7180" max="7398" width="8.87890625" style="79"/>
    <col min="7399" max="7399" width="14.3515625" style="79" customWidth="1"/>
    <col min="7400" max="7400" width="21.87890625" style="79" customWidth="1"/>
    <col min="7401" max="7401" width="16" style="79" customWidth="1"/>
    <col min="7402" max="7402" width="54" style="79" customWidth="1"/>
    <col min="7403" max="7403" width="22.1171875" style="79" customWidth="1"/>
    <col min="7404" max="7404" width="21.46875" style="79" customWidth="1"/>
    <col min="7405" max="7405" width="17.87890625" style="79" customWidth="1"/>
    <col min="7406" max="7406" width="17" style="79" customWidth="1"/>
    <col min="7407" max="7408" width="28.1171875" style="79" customWidth="1"/>
    <col min="7409" max="7409" width="26.46875" style="79" customWidth="1"/>
    <col min="7410" max="7426" width="11.64453125" style="79" customWidth="1"/>
    <col min="7427" max="7427" width="16.3515625" style="79" customWidth="1"/>
    <col min="7428" max="7428" width="13.87890625" style="79" customWidth="1"/>
    <col min="7429" max="7432" width="11.64453125" style="79" customWidth="1"/>
    <col min="7433" max="7433" width="20.1171875" style="79" customWidth="1"/>
    <col min="7434" max="7435" width="2.64453125" style="79" customWidth="1"/>
    <col min="7436" max="7654" width="8.87890625" style="79"/>
    <col min="7655" max="7655" width="14.3515625" style="79" customWidth="1"/>
    <col min="7656" max="7656" width="21.87890625" style="79" customWidth="1"/>
    <col min="7657" max="7657" width="16" style="79" customWidth="1"/>
    <col min="7658" max="7658" width="54" style="79" customWidth="1"/>
    <col min="7659" max="7659" width="22.1171875" style="79" customWidth="1"/>
    <col min="7660" max="7660" width="21.46875" style="79" customWidth="1"/>
    <col min="7661" max="7661" width="17.87890625" style="79" customWidth="1"/>
    <col min="7662" max="7662" width="17" style="79" customWidth="1"/>
    <col min="7663" max="7664" width="28.1171875" style="79" customWidth="1"/>
    <col min="7665" max="7665" width="26.46875" style="79" customWidth="1"/>
    <col min="7666" max="7682" width="11.64453125" style="79" customWidth="1"/>
    <col min="7683" max="7683" width="16.3515625" style="79" customWidth="1"/>
    <col min="7684" max="7684" width="13.87890625" style="79" customWidth="1"/>
    <col min="7685" max="7688" width="11.64453125" style="79" customWidth="1"/>
    <col min="7689" max="7689" width="20.1171875" style="79" customWidth="1"/>
    <col min="7690" max="7691" width="2.64453125" style="79" customWidth="1"/>
    <col min="7692" max="7910" width="8.87890625" style="79"/>
    <col min="7911" max="7911" width="14.3515625" style="79" customWidth="1"/>
    <col min="7912" max="7912" width="21.87890625" style="79" customWidth="1"/>
    <col min="7913" max="7913" width="16" style="79" customWidth="1"/>
    <col min="7914" max="7914" width="54" style="79" customWidth="1"/>
    <col min="7915" max="7915" width="22.1171875" style="79" customWidth="1"/>
    <col min="7916" max="7916" width="21.46875" style="79" customWidth="1"/>
    <col min="7917" max="7917" width="17.87890625" style="79" customWidth="1"/>
    <col min="7918" max="7918" width="17" style="79" customWidth="1"/>
    <col min="7919" max="7920" width="28.1171875" style="79" customWidth="1"/>
    <col min="7921" max="7921" width="26.46875" style="79" customWidth="1"/>
    <col min="7922" max="7938" width="11.64453125" style="79" customWidth="1"/>
    <col min="7939" max="7939" width="16.3515625" style="79" customWidth="1"/>
    <col min="7940" max="7940" width="13.87890625" style="79" customWidth="1"/>
    <col min="7941" max="7944" width="11.64453125" style="79" customWidth="1"/>
    <col min="7945" max="7945" width="20.1171875" style="79" customWidth="1"/>
    <col min="7946" max="7947" width="2.64453125" style="79" customWidth="1"/>
    <col min="7948" max="8166" width="8.87890625" style="79"/>
    <col min="8167" max="8167" width="14.3515625" style="79" customWidth="1"/>
    <col min="8168" max="8168" width="21.87890625" style="79" customWidth="1"/>
    <col min="8169" max="8169" width="16" style="79" customWidth="1"/>
    <col min="8170" max="8170" width="54" style="79" customWidth="1"/>
    <col min="8171" max="8171" width="22.1171875" style="79" customWidth="1"/>
    <col min="8172" max="8172" width="21.46875" style="79" customWidth="1"/>
    <col min="8173" max="8173" width="17.87890625" style="79" customWidth="1"/>
    <col min="8174" max="8174" width="17" style="79" customWidth="1"/>
    <col min="8175" max="8176" width="28.1171875" style="79" customWidth="1"/>
    <col min="8177" max="8177" width="26.46875" style="79" customWidth="1"/>
    <col min="8178" max="8194" width="11.64453125" style="79" customWidth="1"/>
    <col min="8195" max="8195" width="16.3515625" style="79" customWidth="1"/>
    <col min="8196" max="8196" width="13.87890625" style="79" customWidth="1"/>
    <col min="8197" max="8200" width="11.64453125" style="79" customWidth="1"/>
    <col min="8201" max="8201" width="20.1171875" style="79" customWidth="1"/>
    <col min="8202" max="8203" width="2.64453125" style="79" customWidth="1"/>
    <col min="8204" max="8422" width="8.87890625" style="79"/>
    <col min="8423" max="8423" width="14.3515625" style="79" customWidth="1"/>
    <col min="8424" max="8424" width="21.87890625" style="79" customWidth="1"/>
    <col min="8425" max="8425" width="16" style="79" customWidth="1"/>
    <col min="8426" max="8426" width="54" style="79" customWidth="1"/>
    <col min="8427" max="8427" width="22.1171875" style="79" customWidth="1"/>
    <col min="8428" max="8428" width="21.46875" style="79" customWidth="1"/>
    <col min="8429" max="8429" width="17.87890625" style="79" customWidth="1"/>
    <col min="8430" max="8430" width="17" style="79" customWidth="1"/>
    <col min="8431" max="8432" width="28.1171875" style="79" customWidth="1"/>
    <col min="8433" max="8433" width="26.46875" style="79" customWidth="1"/>
    <col min="8434" max="8450" width="11.64453125" style="79" customWidth="1"/>
    <col min="8451" max="8451" width="16.3515625" style="79" customWidth="1"/>
    <col min="8452" max="8452" width="13.87890625" style="79" customWidth="1"/>
    <col min="8453" max="8456" width="11.64453125" style="79" customWidth="1"/>
    <col min="8457" max="8457" width="20.1171875" style="79" customWidth="1"/>
    <col min="8458" max="8459" width="2.64453125" style="79" customWidth="1"/>
    <col min="8460" max="8678" width="8.87890625" style="79"/>
    <col min="8679" max="8679" width="14.3515625" style="79" customWidth="1"/>
    <col min="8680" max="8680" width="21.87890625" style="79" customWidth="1"/>
    <col min="8681" max="8681" width="16" style="79" customWidth="1"/>
    <col min="8682" max="8682" width="54" style="79" customWidth="1"/>
    <col min="8683" max="8683" width="22.1171875" style="79" customWidth="1"/>
    <col min="8684" max="8684" width="21.46875" style="79" customWidth="1"/>
    <col min="8685" max="8685" width="17.87890625" style="79" customWidth="1"/>
    <col min="8686" max="8686" width="17" style="79" customWidth="1"/>
    <col min="8687" max="8688" width="28.1171875" style="79" customWidth="1"/>
    <col min="8689" max="8689" width="26.46875" style="79" customWidth="1"/>
    <col min="8690" max="8706" width="11.64453125" style="79" customWidth="1"/>
    <col min="8707" max="8707" width="16.3515625" style="79" customWidth="1"/>
    <col min="8708" max="8708" width="13.87890625" style="79" customWidth="1"/>
    <col min="8709" max="8712" width="11.64453125" style="79" customWidth="1"/>
    <col min="8713" max="8713" width="20.1171875" style="79" customWidth="1"/>
    <col min="8714" max="8715" width="2.64453125" style="79" customWidth="1"/>
    <col min="8716" max="8934" width="8.87890625" style="79"/>
    <col min="8935" max="8935" width="14.3515625" style="79" customWidth="1"/>
    <col min="8936" max="8936" width="21.87890625" style="79" customWidth="1"/>
    <col min="8937" max="8937" width="16" style="79" customWidth="1"/>
    <col min="8938" max="8938" width="54" style="79" customWidth="1"/>
    <col min="8939" max="8939" width="22.1171875" style="79" customWidth="1"/>
    <col min="8940" max="8940" width="21.46875" style="79" customWidth="1"/>
    <col min="8941" max="8941" width="17.87890625" style="79" customWidth="1"/>
    <col min="8942" max="8942" width="17" style="79" customWidth="1"/>
    <col min="8943" max="8944" width="28.1171875" style="79" customWidth="1"/>
    <col min="8945" max="8945" width="26.46875" style="79" customWidth="1"/>
    <col min="8946" max="8962" width="11.64453125" style="79" customWidth="1"/>
    <col min="8963" max="8963" width="16.3515625" style="79" customWidth="1"/>
    <col min="8964" max="8964" width="13.87890625" style="79" customWidth="1"/>
    <col min="8965" max="8968" width="11.64453125" style="79" customWidth="1"/>
    <col min="8969" max="8969" width="20.1171875" style="79" customWidth="1"/>
    <col min="8970" max="8971" width="2.64453125" style="79" customWidth="1"/>
    <col min="8972" max="9190" width="8.87890625" style="79"/>
    <col min="9191" max="9191" width="14.3515625" style="79" customWidth="1"/>
    <col min="9192" max="9192" width="21.87890625" style="79" customWidth="1"/>
    <col min="9193" max="9193" width="16" style="79" customWidth="1"/>
    <col min="9194" max="9194" width="54" style="79" customWidth="1"/>
    <col min="9195" max="9195" width="22.1171875" style="79" customWidth="1"/>
    <col min="9196" max="9196" width="21.46875" style="79" customWidth="1"/>
    <col min="9197" max="9197" width="17.87890625" style="79" customWidth="1"/>
    <col min="9198" max="9198" width="17" style="79" customWidth="1"/>
    <col min="9199" max="9200" width="28.1171875" style="79" customWidth="1"/>
    <col min="9201" max="9201" width="26.46875" style="79" customWidth="1"/>
    <col min="9202" max="9218" width="11.64453125" style="79" customWidth="1"/>
    <col min="9219" max="9219" width="16.3515625" style="79" customWidth="1"/>
    <col min="9220" max="9220" width="13.87890625" style="79" customWidth="1"/>
    <col min="9221" max="9224" width="11.64453125" style="79" customWidth="1"/>
    <col min="9225" max="9225" width="20.1171875" style="79" customWidth="1"/>
    <col min="9226" max="9227" width="2.64453125" style="79" customWidth="1"/>
    <col min="9228" max="9446" width="8.87890625" style="79"/>
    <col min="9447" max="9447" width="14.3515625" style="79" customWidth="1"/>
    <col min="9448" max="9448" width="21.87890625" style="79" customWidth="1"/>
    <col min="9449" max="9449" width="16" style="79" customWidth="1"/>
    <col min="9450" max="9450" width="54" style="79" customWidth="1"/>
    <col min="9451" max="9451" width="22.1171875" style="79" customWidth="1"/>
    <col min="9452" max="9452" width="21.46875" style="79" customWidth="1"/>
    <col min="9453" max="9453" width="17.87890625" style="79" customWidth="1"/>
    <col min="9454" max="9454" width="17" style="79" customWidth="1"/>
    <col min="9455" max="9456" width="28.1171875" style="79" customWidth="1"/>
    <col min="9457" max="9457" width="26.46875" style="79" customWidth="1"/>
    <col min="9458" max="9474" width="11.64453125" style="79" customWidth="1"/>
    <col min="9475" max="9475" width="16.3515625" style="79" customWidth="1"/>
    <col min="9476" max="9476" width="13.87890625" style="79" customWidth="1"/>
    <col min="9477" max="9480" width="11.64453125" style="79" customWidth="1"/>
    <col min="9481" max="9481" width="20.1171875" style="79" customWidth="1"/>
    <col min="9482" max="9483" width="2.64453125" style="79" customWidth="1"/>
    <col min="9484" max="9702" width="8.87890625" style="79"/>
    <col min="9703" max="9703" width="14.3515625" style="79" customWidth="1"/>
    <col min="9704" max="9704" width="21.87890625" style="79" customWidth="1"/>
    <col min="9705" max="9705" width="16" style="79" customWidth="1"/>
    <col min="9706" max="9706" width="54" style="79" customWidth="1"/>
    <col min="9707" max="9707" width="22.1171875" style="79" customWidth="1"/>
    <col min="9708" max="9708" width="21.46875" style="79" customWidth="1"/>
    <col min="9709" max="9709" width="17.87890625" style="79" customWidth="1"/>
    <col min="9710" max="9710" width="17" style="79" customWidth="1"/>
    <col min="9711" max="9712" width="28.1171875" style="79" customWidth="1"/>
    <col min="9713" max="9713" width="26.46875" style="79" customWidth="1"/>
    <col min="9714" max="9730" width="11.64453125" style="79" customWidth="1"/>
    <col min="9731" max="9731" width="16.3515625" style="79" customWidth="1"/>
    <col min="9732" max="9732" width="13.87890625" style="79" customWidth="1"/>
    <col min="9733" max="9736" width="11.64453125" style="79" customWidth="1"/>
    <col min="9737" max="9737" width="20.1171875" style="79" customWidth="1"/>
    <col min="9738" max="9739" width="2.64453125" style="79" customWidth="1"/>
    <col min="9740" max="9958" width="8.87890625" style="79"/>
    <col min="9959" max="9959" width="14.3515625" style="79" customWidth="1"/>
    <col min="9960" max="9960" width="21.87890625" style="79" customWidth="1"/>
    <col min="9961" max="9961" width="16" style="79" customWidth="1"/>
    <col min="9962" max="9962" width="54" style="79" customWidth="1"/>
    <col min="9963" max="9963" width="22.1171875" style="79" customWidth="1"/>
    <col min="9964" max="9964" width="21.46875" style="79" customWidth="1"/>
    <col min="9965" max="9965" width="17.87890625" style="79" customWidth="1"/>
    <col min="9966" max="9966" width="17" style="79" customWidth="1"/>
    <col min="9967" max="9968" width="28.1171875" style="79" customWidth="1"/>
    <col min="9969" max="9969" width="26.46875" style="79" customWidth="1"/>
    <col min="9970" max="9986" width="11.64453125" style="79" customWidth="1"/>
    <col min="9987" max="9987" width="16.3515625" style="79" customWidth="1"/>
    <col min="9988" max="9988" width="13.87890625" style="79" customWidth="1"/>
    <col min="9989" max="9992" width="11.64453125" style="79" customWidth="1"/>
    <col min="9993" max="9993" width="20.1171875" style="79" customWidth="1"/>
    <col min="9994" max="9995" width="2.64453125" style="79" customWidth="1"/>
    <col min="9996" max="10214" width="8.87890625" style="79"/>
    <col min="10215" max="10215" width="14.3515625" style="79" customWidth="1"/>
    <col min="10216" max="10216" width="21.87890625" style="79" customWidth="1"/>
    <col min="10217" max="10217" width="16" style="79" customWidth="1"/>
    <col min="10218" max="10218" width="54" style="79" customWidth="1"/>
    <col min="10219" max="10219" width="22.1171875" style="79" customWidth="1"/>
    <col min="10220" max="10220" width="21.46875" style="79" customWidth="1"/>
    <col min="10221" max="10221" width="17.87890625" style="79" customWidth="1"/>
    <col min="10222" max="10222" width="17" style="79" customWidth="1"/>
    <col min="10223" max="10224" width="28.1171875" style="79" customWidth="1"/>
    <col min="10225" max="10225" width="26.46875" style="79" customWidth="1"/>
    <col min="10226" max="10242" width="11.64453125" style="79" customWidth="1"/>
    <col min="10243" max="10243" width="16.3515625" style="79" customWidth="1"/>
    <col min="10244" max="10244" width="13.87890625" style="79" customWidth="1"/>
    <col min="10245" max="10248" width="11.64453125" style="79" customWidth="1"/>
    <col min="10249" max="10249" width="20.1171875" style="79" customWidth="1"/>
    <col min="10250" max="10251" width="2.64453125" style="79" customWidth="1"/>
    <col min="10252" max="10470" width="8.87890625" style="79"/>
    <col min="10471" max="10471" width="14.3515625" style="79" customWidth="1"/>
    <col min="10472" max="10472" width="21.87890625" style="79" customWidth="1"/>
    <col min="10473" max="10473" width="16" style="79" customWidth="1"/>
    <col min="10474" max="10474" width="54" style="79" customWidth="1"/>
    <col min="10475" max="10475" width="22.1171875" style="79" customWidth="1"/>
    <col min="10476" max="10476" width="21.46875" style="79" customWidth="1"/>
    <col min="10477" max="10477" width="17.87890625" style="79" customWidth="1"/>
    <col min="10478" max="10478" width="17" style="79" customWidth="1"/>
    <col min="10479" max="10480" width="28.1171875" style="79" customWidth="1"/>
    <col min="10481" max="10481" width="26.46875" style="79" customWidth="1"/>
    <col min="10482" max="10498" width="11.64453125" style="79" customWidth="1"/>
    <col min="10499" max="10499" width="16.3515625" style="79" customWidth="1"/>
    <col min="10500" max="10500" width="13.87890625" style="79" customWidth="1"/>
    <col min="10501" max="10504" width="11.64453125" style="79" customWidth="1"/>
    <col min="10505" max="10505" width="20.1171875" style="79" customWidth="1"/>
    <col min="10506" max="10507" width="2.64453125" style="79" customWidth="1"/>
    <col min="10508" max="10726" width="8.87890625" style="79"/>
    <col min="10727" max="10727" width="14.3515625" style="79" customWidth="1"/>
    <col min="10728" max="10728" width="21.87890625" style="79" customWidth="1"/>
    <col min="10729" max="10729" width="16" style="79" customWidth="1"/>
    <col min="10730" max="10730" width="54" style="79" customWidth="1"/>
    <col min="10731" max="10731" width="22.1171875" style="79" customWidth="1"/>
    <col min="10732" max="10732" width="21.46875" style="79" customWidth="1"/>
    <col min="10733" max="10733" width="17.87890625" style="79" customWidth="1"/>
    <col min="10734" max="10734" width="17" style="79" customWidth="1"/>
    <col min="10735" max="10736" width="28.1171875" style="79" customWidth="1"/>
    <col min="10737" max="10737" width="26.46875" style="79" customWidth="1"/>
    <col min="10738" max="10754" width="11.64453125" style="79" customWidth="1"/>
    <col min="10755" max="10755" width="16.3515625" style="79" customWidth="1"/>
    <col min="10756" max="10756" width="13.87890625" style="79" customWidth="1"/>
    <col min="10757" max="10760" width="11.64453125" style="79" customWidth="1"/>
    <col min="10761" max="10761" width="20.1171875" style="79" customWidth="1"/>
    <col min="10762" max="10763" width="2.64453125" style="79" customWidth="1"/>
    <col min="10764" max="10982" width="8.87890625" style="79"/>
    <col min="10983" max="10983" width="14.3515625" style="79" customWidth="1"/>
    <col min="10984" max="10984" width="21.87890625" style="79" customWidth="1"/>
    <col min="10985" max="10985" width="16" style="79" customWidth="1"/>
    <col min="10986" max="10986" width="54" style="79" customWidth="1"/>
    <col min="10987" max="10987" width="22.1171875" style="79" customWidth="1"/>
    <col min="10988" max="10988" width="21.46875" style="79" customWidth="1"/>
    <col min="10989" max="10989" width="17.87890625" style="79" customWidth="1"/>
    <col min="10990" max="10990" width="17" style="79" customWidth="1"/>
    <col min="10991" max="10992" width="28.1171875" style="79" customWidth="1"/>
    <col min="10993" max="10993" width="26.46875" style="79" customWidth="1"/>
    <col min="10994" max="11010" width="11.64453125" style="79" customWidth="1"/>
    <col min="11011" max="11011" width="16.3515625" style="79" customWidth="1"/>
    <col min="11012" max="11012" width="13.87890625" style="79" customWidth="1"/>
    <col min="11013" max="11016" width="11.64453125" style="79" customWidth="1"/>
    <col min="11017" max="11017" width="20.1171875" style="79" customWidth="1"/>
    <col min="11018" max="11019" width="2.64453125" style="79" customWidth="1"/>
    <col min="11020" max="11238" width="8.87890625" style="79"/>
    <col min="11239" max="11239" width="14.3515625" style="79" customWidth="1"/>
    <col min="11240" max="11240" width="21.87890625" style="79" customWidth="1"/>
    <col min="11241" max="11241" width="16" style="79" customWidth="1"/>
    <col min="11242" max="11242" width="54" style="79" customWidth="1"/>
    <col min="11243" max="11243" width="22.1171875" style="79" customWidth="1"/>
    <col min="11244" max="11244" width="21.46875" style="79" customWidth="1"/>
    <col min="11245" max="11245" width="17.87890625" style="79" customWidth="1"/>
    <col min="11246" max="11246" width="17" style="79" customWidth="1"/>
    <col min="11247" max="11248" width="28.1171875" style="79" customWidth="1"/>
    <col min="11249" max="11249" width="26.46875" style="79" customWidth="1"/>
    <col min="11250" max="11266" width="11.64453125" style="79" customWidth="1"/>
    <col min="11267" max="11267" width="16.3515625" style="79" customWidth="1"/>
    <col min="11268" max="11268" width="13.87890625" style="79" customWidth="1"/>
    <col min="11269" max="11272" width="11.64453125" style="79" customWidth="1"/>
    <col min="11273" max="11273" width="20.1171875" style="79" customWidth="1"/>
    <col min="11274" max="11275" width="2.64453125" style="79" customWidth="1"/>
    <col min="11276" max="11494" width="8.87890625" style="79"/>
    <col min="11495" max="11495" width="14.3515625" style="79" customWidth="1"/>
    <col min="11496" max="11496" width="21.87890625" style="79" customWidth="1"/>
    <col min="11497" max="11497" width="16" style="79" customWidth="1"/>
    <col min="11498" max="11498" width="54" style="79" customWidth="1"/>
    <col min="11499" max="11499" width="22.1171875" style="79" customWidth="1"/>
    <col min="11500" max="11500" width="21.46875" style="79" customWidth="1"/>
    <col min="11501" max="11501" width="17.87890625" style="79" customWidth="1"/>
    <col min="11502" max="11502" width="17" style="79" customWidth="1"/>
    <col min="11503" max="11504" width="28.1171875" style="79" customWidth="1"/>
    <col min="11505" max="11505" width="26.46875" style="79" customWidth="1"/>
    <col min="11506" max="11522" width="11.64453125" style="79" customWidth="1"/>
    <col min="11523" max="11523" width="16.3515625" style="79" customWidth="1"/>
    <col min="11524" max="11524" width="13.87890625" style="79" customWidth="1"/>
    <col min="11525" max="11528" width="11.64453125" style="79" customWidth="1"/>
    <col min="11529" max="11529" width="20.1171875" style="79" customWidth="1"/>
    <col min="11530" max="11531" width="2.64453125" style="79" customWidth="1"/>
    <col min="11532" max="11750" width="8.87890625" style="79"/>
    <col min="11751" max="11751" width="14.3515625" style="79" customWidth="1"/>
    <col min="11752" max="11752" width="21.87890625" style="79" customWidth="1"/>
    <col min="11753" max="11753" width="16" style="79" customWidth="1"/>
    <col min="11754" max="11754" width="54" style="79" customWidth="1"/>
    <col min="11755" max="11755" width="22.1171875" style="79" customWidth="1"/>
    <col min="11756" max="11756" width="21.46875" style="79" customWidth="1"/>
    <col min="11757" max="11757" width="17.87890625" style="79" customWidth="1"/>
    <col min="11758" max="11758" width="17" style="79" customWidth="1"/>
    <col min="11759" max="11760" width="28.1171875" style="79" customWidth="1"/>
    <col min="11761" max="11761" width="26.46875" style="79" customWidth="1"/>
    <col min="11762" max="11778" width="11.64453125" style="79" customWidth="1"/>
    <col min="11779" max="11779" width="16.3515625" style="79" customWidth="1"/>
    <col min="11780" max="11780" width="13.87890625" style="79" customWidth="1"/>
    <col min="11781" max="11784" width="11.64453125" style="79" customWidth="1"/>
    <col min="11785" max="11785" width="20.1171875" style="79" customWidth="1"/>
    <col min="11786" max="11787" width="2.64453125" style="79" customWidth="1"/>
    <col min="11788" max="12006" width="8.87890625" style="79"/>
    <col min="12007" max="12007" width="14.3515625" style="79" customWidth="1"/>
    <col min="12008" max="12008" width="21.87890625" style="79" customWidth="1"/>
    <col min="12009" max="12009" width="16" style="79" customWidth="1"/>
    <col min="12010" max="12010" width="54" style="79" customWidth="1"/>
    <col min="12011" max="12011" width="22.1171875" style="79" customWidth="1"/>
    <col min="12012" max="12012" width="21.46875" style="79" customWidth="1"/>
    <col min="12013" max="12013" width="17.87890625" style="79" customWidth="1"/>
    <col min="12014" max="12014" width="17" style="79" customWidth="1"/>
    <col min="12015" max="12016" width="28.1171875" style="79" customWidth="1"/>
    <col min="12017" max="12017" width="26.46875" style="79" customWidth="1"/>
    <col min="12018" max="12034" width="11.64453125" style="79" customWidth="1"/>
    <col min="12035" max="12035" width="16.3515625" style="79" customWidth="1"/>
    <col min="12036" max="12036" width="13.87890625" style="79" customWidth="1"/>
    <col min="12037" max="12040" width="11.64453125" style="79" customWidth="1"/>
    <col min="12041" max="12041" width="20.1171875" style="79" customWidth="1"/>
    <col min="12042" max="12043" width="2.64453125" style="79" customWidth="1"/>
    <col min="12044" max="12262" width="8.87890625" style="79"/>
    <col min="12263" max="12263" width="14.3515625" style="79" customWidth="1"/>
    <col min="12264" max="12264" width="21.87890625" style="79" customWidth="1"/>
    <col min="12265" max="12265" width="16" style="79" customWidth="1"/>
    <col min="12266" max="12266" width="54" style="79" customWidth="1"/>
    <col min="12267" max="12267" width="22.1171875" style="79" customWidth="1"/>
    <col min="12268" max="12268" width="21.46875" style="79" customWidth="1"/>
    <col min="12269" max="12269" width="17.87890625" style="79" customWidth="1"/>
    <col min="12270" max="12270" width="17" style="79" customWidth="1"/>
    <col min="12271" max="12272" width="28.1171875" style="79" customWidth="1"/>
    <col min="12273" max="12273" width="26.46875" style="79" customWidth="1"/>
    <col min="12274" max="12290" width="11.64453125" style="79" customWidth="1"/>
    <col min="12291" max="12291" width="16.3515625" style="79" customWidth="1"/>
    <col min="12292" max="12292" width="13.87890625" style="79" customWidth="1"/>
    <col min="12293" max="12296" width="11.64453125" style="79" customWidth="1"/>
    <col min="12297" max="12297" width="20.1171875" style="79" customWidth="1"/>
    <col min="12298" max="12299" width="2.64453125" style="79" customWidth="1"/>
    <col min="12300" max="12518" width="8.87890625" style="79"/>
    <col min="12519" max="12519" width="14.3515625" style="79" customWidth="1"/>
    <col min="12520" max="12520" width="21.87890625" style="79" customWidth="1"/>
    <col min="12521" max="12521" width="16" style="79" customWidth="1"/>
    <col min="12522" max="12522" width="54" style="79" customWidth="1"/>
    <col min="12523" max="12523" width="22.1171875" style="79" customWidth="1"/>
    <col min="12524" max="12524" width="21.46875" style="79" customWidth="1"/>
    <col min="12525" max="12525" width="17.87890625" style="79" customWidth="1"/>
    <col min="12526" max="12526" width="17" style="79" customWidth="1"/>
    <col min="12527" max="12528" width="28.1171875" style="79" customWidth="1"/>
    <col min="12529" max="12529" width="26.46875" style="79" customWidth="1"/>
    <col min="12530" max="12546" width="11.64453125" style="79" customWidth="1"/>
    <col min="12547" max="12547" width="16.3515625" style="79" customWidth="1"/>
    <col min="12548" max="12548" width="13.87890625" style="79" customWidth="1"/>
    <col min="12549" max="12552" width="11.64453125" style="79" customWidth="1"/>
    <col min="12553" max="12553" width="20.1171875" style="79" customWidth="1"/>
    <col min="12554" max="12555" width="2.64453125" style="79" customWidth="1"/>
    <col min="12556" max="12774" width="8.87890625" style="79"/>
    <col min="12775" max="12775" width="14.3515625" style="79" customWidth="1"/>
    <col min="12776" max="12776" width="21.87890625" style="79" customWidth="1"/>
    <col min="12777" max="12777" width="16" style="79" customWidth="1"/>
    <col min="12778" max="12778" width="54" style="79" customWidth="1"/>
    <col min="12779" max="12779" width="22.1171875" style="79" customWidth="1"/>
    <col min="12780" max="12780" width="21.46875" style="79" customWidth="1"/>
    <col min="12781" max="12781" width="17.87890625" style="79" customWidth="1"/>
    <col min="12782" max="12782" width="17" style="79" customWidth="1"/>
    <col min="12783" max="12784" width="28.1171875" style="79" customWidth="1"/>
    <col min="12785" max="12785" width="26.46875" style="79" customWidth="1"/>
    <col min="12786" max="12802" width="11.64453125" style="79" customWidth="1"/>
    <col min="12803" max="12803" width="16.3515625" style="79" customWidth="1"/>
    <col min="12804" max="12804" width="13.87890625" style="79" customWidth="1"/>
    <col min="12805" max="12808" width="11.64453125" style="79" customWidth="1"/>
    <col min="12809" max="12809" width="20.1171875" style="79" customWidth="1"/>
    <col min="12810" max="12811" width="2.64453125" style="79" customWidth="1"/>
    <col min="12812" max="13030" width="8.87890625" style="79"/>
    <col min="13031" max="13031" width="14.3515625" style="79" customWidth="1"/>
    <col min="13032" max="13032" width="21.87890625" style="79" customWidth="1"/>
    <col min="13033" max="13033" width="16" style="79" customWidth="1"/>
    <col min="13034" max="13034" width="54" style="79" customWidth="1"/>
    <col min="13035" max="13035" width="22.1171875" style="79" customWidth="1"/>
    <col min="13036" max="13036" width="21.46875" style="79" customWidth="1"/>
    <col min="13037" max="13037" width="17.87890625" style="79" customWidth="1"/>
    <col min="13038" max="13038" width="17" style="79" customWidth="1"/>
    <col min="13039" max="13040" width="28.1171875" style="79" customWidth="1"/>
    <col min="13041" max="13041" width="26.46875" style="79" customWidth="1"/>
    <col min="13042" max="13058" width="11.64453125" style="79" customWidth="1"/>
    <col min="13059" max="13059" width="16.3515625" style="79" customWidth="1"/>
    <col min="13060" max="13060" width="13.87890625" style="79" customWidth="1"/>
    <col min="13061" max="13064" width="11.64453125" style="79" customWidth="1"/>
    <col min="13065" max="13065" width="20.1171875" style="79" customWidth="1"/>
    <col min="13066" max="13067" width="2.64453125" style="79" customWidth="1"/>
    <col min="13068" max="13286" width="8.87890625" style="79"/>
    <col min="13287" max="13287" width="14.3515625" style="79" customWidth="1"/>
    <col min="13288" max="13288" width="21.87890625" style="79" customWidth="1"/>
    <col min="13289" max="13289" width="16" style="79" customWidth="1"/>
    <col min="13290" max="13290" width="54" style="79" customWidth="1"/>
    <col min="13291" max="13291" width="22.1171875" style="79" customWidth="1"/>
    <col min="13292" max="13292" width="21.46875" style="79" customWidth="1"/>
    <col min="13293" max="13293" width="17.87890625" style="79" customWidth="1"/>
    <col min="13294" max="13294" width="17" style="79" customWidth="1"/>
    <col min="13295" max="13296" width="28.1171875" style="79" customWidth="1"/>
    <col min="13297" max="13297" width="26.46875" style="79" customWidth="1"/>
    <col min="13298" max="13314" width="11.64453125" style="79" customWidth="1"/>
    <col min="13315" max="13315" width="16.3515625" style="79" customWidth="1"/>
    <col min="13316" max="13316" width="13.87890625" style="79" customWidth="1"/>
    <col min="13317" max="13320" width="11.64453125" style="79" customWidth="1"/>
    <col min="13321" max="13321" width="20.1171875" style="79" customWidth="1"/>
    <col min="13322" max="13323" width="2.64453125" style="79" customWidth="1"/>
    <col min="13324" max="13542" width="8.87890625" style="79"/>
    <col min="13543" max="13543" width="14.3515625" style="79" customWidth="1"/>
    <col min="13544" max="13544" width="21.87890625" style="79" customWidth="1"/>
    <col min="13545" max="13545" width="16" style="79" customWidth="1"/>
    <col min="13546" max="13546" width="54" style="79" customWidth="1"/>
    <col min="13547" max="13547" width="22.1171875" style="79" customWidth="1"/>
    <col min="13548" max="13548" width="21.46875" style="79" customWidth="1"/>
    <col min="13549" max="13549" width="17.87890625" style="79" customWidth="1"/>
    <col min="13550" max="13550" width="17" style="79" customWidth="1"/>
    <col min="13551" max="13552" width="28.1171875" style="79" customWidth="1"/>
    <col min="13553" max="13553" width="26.46875" style="79" customWidth="1"/>
    <col min="13554" max="13570" width="11.64453125" style="79" customWidth="1"/>
    <col min="13571" max="13571" width="16.3515625" style="79" customWidth="1"/>
    <col min="13572" max="13572" width="13.87890625" style="79" customWidth="1"/>
    <col min="13573" max="13576" width="11.64453125" style="79" customWidth="1"/>
    <col min="13577" max="13577" width="20.1171875" style="79" customWidth="1"/>
    <col min="13578" max="13579" width="2.64453125" style="79" customWidth="1"/>
    <col min="13580" max="13798" width="8.87890625" style="79"/>
    <col min="13799" max="13799" width="14.3515625" style="79" customWidth="1"/>
    <col min="13800" max="13800" width="21.87890625" style="79" customWidth="1"/>
    <col min="13801" max="13801" width="16" style="79" customWidth="1"/>
    <col min="13802" max="13802" width="54" style="79" customWidth="1"/>
    <col min="13803" max="13803" width="22.1171875" style="79" customWidth="1"/>
    <col min="13804" max="13804" width="21.46875" style="79" customWidth="1"/>
    <col min="13805" max="13805" width="17.87890625" style="79" customWidth="1"/>
    <col min="13806" max="13806" width="17" style="79" customWidth="1"/>
    <col min="13807" max="13808" width="28.1171875" style="79" customWidth="1"/>
    <col min="13809" max="13809" width="26.46875" style="79" customWidth="1"/>
    <col min="13810" max="13826" width="11.64453125" style="79" customWidth="1"/>
    <col min="13827" max="13827" width="16.3515625" style="79" customWidth="1"/>
    <col min="13828" max="13828" width="13.87890625" style="79" customWidth="1"/>
    <col min="13829" max="13832" width="11.64453125" style="79" customWidth="1"/>
    <col min="13833" max="13833" width="20.1171875" style="79" customWidth="1"/>
    <col min="13834" max="13835" width="2.64453125" style="79" customWidth="1"/>
    <col min="13836" max="14054" width="8.87890625" style="79"/>
    <col min="14055" max="14055" width="14.3515625" style="79" customWidth="1"/>
    <col min="14056" max="14056" width="21.87890625" style="79" customWidth="1"/>
    <col min="14057" max="14057" width="16" style="79" customWidth="1"/>
    <col min="14058" max="14058" width="54" style="79" customWidth="1"/>
    <col min="14059" max="14059" width="22.1171875" style="79" customWidth="1"/>
    <col min="14060" max="14060" width="21.46875" style="79" customWidth="1"/>
    <col min="14061" max="14061" width="17.87890625" style="79" customWidth="1"/>
    <col min="14062" max="14062" width="17" style="79" customWidth="1"/>
    <col min="14063" max="14064" width="28.1171875" style="79" customWidth="1"/>
    <col min="14065" max="14065" width="26.46875" style="79" customWidth="1"/>
    <col min="14066" max="14082" width="11.64453125" style="79" customWidth="1"/>
    <col min="14083" max="14083" width="16.3515625" style="79" customWidth="1"/>
    <col min="14084" max="14084" width="13.87890625" style="79" customWidth="1"/>
    <col min="14085" max="14088" width="11.64453125" style="79" customWidth="1"/>
    <col min="14089" max="14089" width="20.1171875" style="79" customWidth="1"/>
    <col min="14090" max="14091" width="2.64453125" style="79" customWidth="1"/>
    <col min="14092" max="14310" width="8.87890625" style="79"/>
    <col min="14311" max="14311" width="14.3515625" style="79" customWidth="1"/>
    <col min="14312" max="14312" width="21.87890625" style="79" customWidth="1"/>
    <col min="14313" max="14313" width="16" style="79" customWidth="1"/>
    <col min="14314" max="14314" width="54" style="79" customWidth="1"/>
    <col min="14315" max="14315" width="22.1171875" style="79" customWidth="1"/>
    <col min="14316" max="14316" width="21.46875" style="79" customWidth="1"/>
    <col min="14317" max="14317" width="17.87890625" style="79" customWidth="1"/>
    <col min="14318" max="14318" width="17" style="79" customWidth="1"/>
    <col min="14319" max="14320" width="28.1171875" style="79" customWidth="1"/>
    <col min="14321" max="14321" width="26.46875" style="79" customWidth="1"/>
    <col min="14322" max="14338" width="11.64453125" style="79" customWidth="1"/>
    <col min="14339" max="14339" width="16.3515625" style="79" customWidth="1"/>
    <col min="14340" max="14340" width="13.87890625" style="79" customWidth="1"/>
    <col min="14341" max="14344" width="11.64453125" style="79" customWidth="1"/>
    <col min="14345" max="14345" width="20.1171875" style="79" customWidth="1"/>
    <col min="14346" max="14347" width="2.64453125" style="79" customWidth="1"/>
    <col min="14348" max="14566" width="8.87890625" style="79"/>
    <col min="14567" max="14567" width="14.3515625" style="79" customWidth="1"/>
    <col min="14568" max="14568" width="21.87890625" style="79" customWidth="1"/>
    <col min="14569" max="14569" width="16" style="79" customWidth="1"/>
    <col min="14570" max="14570" width="54" style="79" customWidth="1"/>
    <col min="14571" max="14571" width="22.1171875" style="79" customWidth="1"/>
    <col min="14572" max="14572" width="21.46875" style="79" customWidth="1"/>
    <col min="14573" max="14573" width="17.87890625" style="79" customWidth="1"/>
    <col min="14574" max="14574" width="17" style="79" customWidth="1"/>
    <col min="14575" max="14576" width="28.1171875" style="79" customWidth="1"/>
    <col min="14577" max="14577" width="26.46875" style="79" customWidth="1"/>
    <col min="14578" max="14594" width="11.64453125" style="79" customWidth="1"/>
    <col min="14595" max="14595" width="16.3515625" style="79" customWidth="1"/>
    <col min="14596" max="14596" width="13.87890625" style="79" customWidth="1"/>
    <col min="14597" max="14600" width="11.64453125" style="79" customWidth="1"/>
    <col min="14601" max="14601" width="20.1171875" style="79" customWidth="1"/>
    <col min="14602" max="14603" width="2.64453125" style="79" customWidth="1"/>
    <col min="14604" max="14822" width="8.87890625" style="79"/>
    <col min="14823" max="14823" width="14.3515625" style="79" customWidth="1"/>
    <col min="14824" max="14824" width="21.87890625" style="79" customWidth="1"/>
    <col min="14825" max="14825" width="16" style="79" customWidth="1"/>
    <col min="14826" max="14826" width="54" style="79" customWidth="1"/>
    <col min="14827" max="14827" width="22.1171875" style="79" customWidth="1"/>
    <col min="14828" max="14828" width="21.46875" style="79" customWidth="1"/>
    <col min="14829" max="14829" width="17.87890625" style="79" customWidth="1"/>
    <col min="14830" max="14830" width="17" style="79" customWidth="1"/>
    <col min="14831" max="14832" width="28.1171875" style="79" customWidth="1"/>
    <col min="14833" max="14833" width="26.46875" style="79" customWidth="1"/>
    <col min="14834" max="14850" width="11.64453125" style="79" customWidth="1"/>
    <col min="14851" max="14851" width="16.3515625" style="79" customWidth="1"/>
    <col min="14852" max="14852" width="13.87890625" style="79" customWidth="1"/>
    <col min="14853" max="14856" width="11.64453125" style="79" customWidth="1"/>
    <col min="14857" max="14857" width="20.1171875" style="79" customWidth="1"/>
    <col min="14858" max="14859" width="2.64453125" style="79" customWidth="1"/>
    <col min="14860" max="15078" width="8.87890625" style="79"/>
    <col min="15079" max="15079" width="14.3515625" style="79" customWidth="1"/>
    <col min="15080" max="15080" width="21.87890625" style="79" customWidth="1"/>
    <col min="15081" max="15081" width="16" style="79" customWidth="1"/>
    <col min="15082" max="15082" width="54" style="79" customWidth="1"/>
    <col min="15083" max="15083" width="22.1171875" style="79" customWidth="1"/>
    <col min="15084" max="15084" width="21.46875" style="79" customWidth="1"/>
    <col min="15085" max="15085" width="17.87890625" style="79" customWidth="1"/>
    <col min="15086" max="15086" width="17" style="79" customWidth="1"/>
    <col min="15087" max="15088" width="28.1171875" style="79" customWidth="1"/>
    <col min="15089" max="15089" width="26.46875" style="79" customWidth="1"/>
    <col min="15090" max="15106" width="11.64453125" style="79" customWidth="1"/>
    <col min="15107" max="15107" width="16.3515625" style="79" customWidth="1"/>
    <col min="15108" max="15108" width="13.87890625" style="79" customWidth="1"/>
    <col min="15109" max="15112" width="11.64453125" style="79" customWidth="1"/>
    <col min="15113" max="15113" width="20.1171875" style="79" customWidth="1"/>
    <col min="15114" max="15115" width="2.64453125" style="79" customWidth="1"/>
    <col min="15116" max="15334" width="8.87890625" style="79"/>
    <col min="15335" max="15335" width="14.3515625" style="79" customWidth="1"/>
    <col min="15336" max="15336" width="21.87890625" style="79" customWidth="1"/>
    <col min="15337" max="15337" width="16" style="79" customWidth="1"/>
    <col min="15338" max="15338" width="54" style="79" customWidth="1"/>
    <col min="15339" max="15339" width="22.1171875" style="79" customWidth="1"/>
    <col min="15340" max="15340" width="21.46875" style="79" customWidth="1"/>
    <col min="15341" max="15341" width="17.87890625" style="79" customWidth="1"/>
    <col min="15342" max="15342" width="17" style="79" customWidth="1"/>
    <col min="15343" max="15344" width="28.1171875" style="79" customWidth="1"/>
    <col min="15345" max="15345" width="26.46875" style="79" customWidth="1"/>
    <col min="15346" max="15362" width="11.64453125" style="79" customWidth="1"/>
    <col min="15363" max="15363" width="16.3515625" style="79" customWidth="1"/>
    <col min="15364" max="15364" width="13.87890625" style="79" customWidth="1"/>
    <col min="15365" max="15368" width="11.64453125" style="79" customWidth="1"/>
    <col min="15369" max="15369" width="20.1171875" style="79" customWidth="1"/>
    <col min="15370" max="15371" width="2.64453125" style="79" customWidth="1"/>
    <col min="15372" max="15590" width="8.87890625" style="79"/>
    <col min="15591" max="15591" width="14.3515625" style="79" customWidth="1"/>
    <col min="15592" max="15592" width="21.87890625" style="79" customWidth="1"/>
    <col min="15593" max="15593" width="16" style="79" customWidth="1"/>
    <col min="15594" max="15594" width="54" style="79" customWidth="1"/>
    <col min="15595" max="15595" width="22.1171875" style="79" customWidth="1"/>
    <col min="15596" max="15596" width="21.46875" style="79" customWidth="1"/>
    <col min="15597" max="15597" width="17.87890625" style="79" customWidth="1"/>
    <col min="15598" max="15598" width="17" style="79" customWidth="1"/>
    <col min="15599" max="15600" width="28.1171875" style="79" customWidth="1"/>
    <col min="15601" max="15601" width="26.46875" style="79" customWidth="1"/>
    <col min="15602" max="15618" width="11.64453125" style="79" customWidth="1"/>
    <col min="15619" max="15619" width="16.3515625" style="79" customWidth="1"/>
    <col min="15620" max="15620" width="13.87890625" style="79" customWidth="1"/>
    <col min="15621" max="15624" width="11.64453125" style="79" customWidth="1"/>
    <col min="15625" max="15625" width="20.1171875" style="79" customWidth="1"/>
    <col min="15626" max="15627" width="2.64453125" style="79" customWidth="1"/>
    <col min="15628" max="15846" width="8.87890625" style="79"/>
    <col min="15847" max="15847" width="14.3515625" style="79" customWidth="1"/>
    <col min="15848" max="15848" width="21.87890625" style="79" customWidth="1"/>
    <col min="15849" max="15849" width="16" style="79" customWidth="1"/>
    <col min="15850" max="15850" width="54" style="79" customWidth="1"/>
    <col min="15851" max="15851" width="22.1171875" style="79" customWidth="1"/>
    <col min="15852" max="15852" width="21.46875" style="79" customWidth="1"/>
    <col min="15853" max="15853" width="17.87890625" style="79" customWidth="1"/>
    <col min="15854" max="15854" width="17" style="79" customWidth="1"/>
    <col min="15855" max="15856" width="28.1171875" style="79" customWidth="1"/>
    <col min="15857" max="15857" width="26.46875" style="79" customWidth="1"/>
    <col min="15858" max="15874" width="11.64453125" style="79" customWidth="1"/>
    <col min="15875" max="15875" width="16.3515625" style="79" customWidth="1"/>
    <col min="15876" max="15876" width="13.87890625" style="79" customWidth="1"/>
    <col min="15877" max="15880" width="11.64453125" style="79" customWidth="1"/>
    <col min="15881" max="15881" width="20.1171875" style="79" customWidth="1"/>
    <col min="15882" max="15883" width="2.64453125" style="79" customWidth="1"/>
    <col min="15884" max="16102" width="8.87890625" style="79"/>
    <col min="16103" max="16103" width="14.3515625" style="79" customWidth="1"/>
    <col min="16104" max="16104" width="21.87890625" style="79" customWidth="1"/>
    <col min="16105" max="16105" width="16" style="79" customWidth="1"/>
    <col min="16106" max="16106" width="54" style="79" customWidth="1"/>
    <col min="16107" max="16107" width="22.1171875" style="79" customWidth="1"/>
    <col min="16108" max="16108" width="21.46875" style="79" customWidth="1"/>
    <col min="16109" max="16109" width="17.87890625" style="79" customWidth="1"/>
    <col min="16110" max="16110" width="17" style="79" customWidth="1"/>
    <col min="16111" max="16112" width="28.1171875" style="79" customWidth="1"/>
    <col min="16113" max="16113" width="26.46875" style="79" customWidth="1"/>
    <col min="16114" max="16130" width="11.64453125" style="79" customWidth="1"/>
    <col min="16131" max="16131" width="16.3515625" style="79" customWidth="1"/>
    <col min="16132" max="16132" width="13.87890625" style="79" customWidth="1"/>
    <col min="16133" max="16136" width="11.64453125" style="79" customWidth="1"/>
    <col min="16137" max="16137" width="20.1171875" style="79" customWidth="1"/>
    <col min="16138" max="16139" width="2.64453125" style="79" customWidth="1"/>
    <col min="16140" max="16384" width="8.87890625" style="79"/>
  </cols>
  <sheetData>
    <row r="1" spans="1:33" s="7" customFormat="1" ht="39.950000000000003" customHeight="1" x14ac:dyDescent="0.9">
      <c r="A1" s="1" t="s">
        <v>0</v>
      </c>
      <c r="B1" s="2"/>
      <c r="C1" s="3" t="s">
        <v>1</v>
      </c>
      <c r="D1" s="4"/>
      <c r="E1" s="4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33" s="7" customFormat="1" ht="39.950000000000003" customHeight="1" x14ac:dyDescent="0.9">
      <c r="A2" s="1" t="s">
        <v>2</v>
      </c>
      <c r="B2" s="8"/>
      <c r="C2" s="9" t="s">
        <v>3</v>
      </c>
      <c r="D2" s="4"/>
      <c r="E2" s="4"/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33" s="7" customFormat="1" ht="39.950000000000003" customHeight="1" x14ac:dyDescent="0.9">
      <c r="A3" s="1" t="s">
        <v>4</v>
      </c>
      <c r="B3" s="8"/>
      <c r="C3" s="9"/>
      <c r="D3" s="4"/>
      <c r="E3" s="4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33" s="7" customFormat="1" ht="39.950000000000003" customHeight="1" x14ac:dyDescent="0.9">
      <c r="A4" s="1" t="s">
        <v>5</v>
      </c>
      <c r="B4" s="8"/>
      <c r="C4" s="3" t="s">
        <v>6</v>
      </c>
      <c r="D4" s="4"/>
      <c r="E4" s="4"/>
      <c r="F4" s="5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33" s="7" customFormat="1" ht="39.950000000000003" customHeight="1" x14ac:dyDescent="0.9">
      <c r="A5" s="1" t="s">
        <v>7</v>
      </c>
      <c r="B5" s="8"/>
      <c r="C5" s="9"/>
      <c r="D5" s="4"/>
      <c r="E5" s="4"/>
      <c r="F5" s="5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33" s="7" customFormat="1" ht="39.950000000000003" customHeight="1" x14ac:dyDescent="0.9">
      <c r="A6" s="1" t="s">
        <v>8</v>
      </c>
      <c r="B6" s="8"/>
      <c r="C6" s="9" t="s">
        <v>9</v>
      </c>
      <c r="D6" s="4"/>
      <c r="E6" s="4"/>
      <c r="F6" s="5"/>
      <c r="G6" s="5"/>
      <c r="H6" s="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33" s="7" customFormat="1" ht="39.950000000000003" customHeight="1" thickBot="1" x14ac:dyDescent="0.95">
      <c r="A7" s="4"/>
      <c r="B7" s="4"/>
      <c r="C7" s="4"/>
      <c r="D7" s="11"/>
      <c r="E7" s="11"/>
      <c r="F7" s="11"/>
      <c r="G7" s="11"/>
      <c r="H7" s="12"/>
      <c r="I7" s="13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33" s="24" customFormat="1" ht="41.7" customHeight="1" thickTop="1" x14ac:dyDescent="0.55000000000000004">
      <c r="A8" s="15" t="s">
        <v>10</v>
      </c>
      <c r="B8" s="16" t="s">
        <v>11</v>
      </c>
      <c r="C8" s="17" t="s">
        <v>12</v>
      </c>
      <c r="D8" s="18" t="s">
        <v>13</v>
      </c>
      <c r="E8" s="17" t="s">
        <v>14</v>
      </c>
      <c r="F8" s="17" t="s">
        <v>15</v>
      </c>
      <c r="G8" s="19" t="s">
        <v>16</v>
      </c>
      <c r="H8" s="20" t="s">
        <v>17</v>
      </c>
      <c r="I8" s="21" t="s">
        <v>18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3"/>
    </row>
    <row r="9" spans="1:33" s="24" customFormat="1" ht="41.7" customHeight="1" x14ac:dyDescent="0.55000000000000004">
      <c r="A9" s="25"/>
      <c r="B9" s="26"/>
      <c r="C9" s="27"/>
      <c r="D9" s="28"/>
      <c r="E9" s="27"/>
      <c r="F9" s="27"/>
      <c r="G9" s="29"/>
      <c r="H9" s="30"/>
      <c r="I9" s="31">
        <v>8</v>
      </c>
      <c r="J9" s="32">
        <f>I9+1</f>
        <v>9</v>
      </c>
      <c r="K9" s="32">
        <f t="shared" ref="K9:AC9" si="0">J9+1</f>
        <v>10</v>
      </c>
      <c r="L9" s="32">
        <f t="shared" si="0"/>
        <v>11</v>
      </c>
      <c r="M9" s="32">
        <f t="shared" si="0"/>
        <v>12</v>
      </c>
      <c r="N9" s="32">
        <f t="shared" si="0"/>
        <v>13</v>
      </c>
      <c r="O9" s="32">
        <f t="shared" si="0"/>
        <v>14</v>
      </c>
      <c r="P9" s="32">
        <f t="shared" si="0"/>
        <v>15</v>
      </c>
      <c r="Q9" s="32">
        <f>P9+1</f>
        <v>16</v>
      </c>
      <c r="R9" s="32">
        <f>Q9+1</f>
        <v>17</v>
      </c>
      <c r="S9" s="32">
        <f>R9+1</f>
        <v>18</v>
      </c>
      <c r="T9" s="32">
        <f>S9+1</f>
        <v>19</v>
      </c>
      <c r="U9" s="32">
        <f t="shared" si="0"/>
        <v>20</v>
      </c>
      <c r="V9" s="32">
        <f t="shared" si="0"/>
        <v>21</v>
      </c>
      <c r="W9" s="32">
        <f t="shared" si="0"/>
        <v>22</v>
      </c>
      <c r="X9" s="32">
        <f t="shared" si="0"/>
        <v>23</v>
      </c>
      <c r="Y9" s="32">
        <f t="shared" si="0"/>
        <v>24</v>
      </c>
      <c r="Z9" s="32">
        <f t="shared" si="0"/>
        <v>25</v>
      </c>
      <c r="AA9" s="32">
        <f t="shared" si="0"/>
        <v>26</v>
      </c>
      <c r="AB9" s="32">
        <f t="shared" si="0"/>
        <v>27</v>
      </c>
      <c r="AC9" s="33">
        <f t="shared" si="0"/>
        <v>28</v>
      </c>
    </row>
    <row r="10" spans="1:33" s="24" customFormat="1" ht="41.7" customHeight="1" thickBot="1" x14ac:dyDescent="0.6">
      <c r="A10" s="34"/>
      <c r="B10" s="35"/>
      <c r="C10" s="36"/>
      <c r="D10" s="37"/>
      <c r="E10" s="36"/>
      <c r="F10" s="36"/>
      <c r="G10" s="38"/>
      <c r="H10" s="39"/>
      <c r="I10" s="40" t="s">
        <v>19</v>
      </c>
      <c r="J10" s="40" t="s">
        <v>20</v>
      </c>
      <c r="K10" s="41" t="s">
        <v>21</v>
      </c>
      <c r="L10" s="41" t="s">
        <v>22</v>
      </c>
      <c r="M10" s="40" t="s">
        <v>23</v>
      </c>
      <c r="N10" s="42" t="s">
        <v>24</v>
      </c>
      <c r="O10" s="42" t="s">
        <v>25</v>
      </c>
      <c r="P10" s="40" t="s">
        <v>19</v>
      </c>
      <c r="Q10" s="40" t="s">
        <v>20</v>
      </c>
      <c r="R10" s="41" t="s">
        <v>21</v>
      </c>
      <c r="S10" s="41" t="s">
        <v>22</v>
      </c>
      <c r="T10" s="40" t="s">
        <v>23</v>
      </c>
      <c r="U10" s="42" t="s">
        <v>24</v>
      </c>
      <c r="V10" s="42" t="s">
        <v>25</v>
      </c>
      <c r="W10" s="40" t="s">
        <v>19</v>
      </c>
      <c r="X10" s="40" t="s">
        <v>20</v>
      </c>
      <c r="Y10" s="41" t="s">
        <v>21</v>
      </c>
      <c r="Z10" s="41" t="s">
        <v>22</v>
      </c>
      <c r="AA10" s="40" t="s">
        <v>23</v>
      </c>
      <c r="AB10" s="42" t="s">
        <v>24</v>
      </c>
      <c r="AC10" s="43" t="s">
        <v>25</v>
      </c>
    </row>
    <row r="11" spans="1:33" s="55" customFormat="1" ht="105.6" customHeight="1" thickTop="1" x14ac:dyDescent="0.55000000000000004">
      <c r="A11" s="44" t="s">
        <v>26</v>
      </c>
      <c r="B11" s="45" t="s">
        <v>27</v>
      </c>
      <c r="C11" s="46" t="s">
        <v>28</v>
      </c>
      <c r="D11" s="47">
        <f>3000*0.85*F11</f>
        <v>1836000</v>
      </c>
      <c r="E11" s="48" t="s">
        <v>29</v>
      </c>
      <c r="F11" s="49">
        <f>SUM(I11:AC11)</f>
        <v>720</v>
      </c>
      <c r="G11" s="50">
        <f>250000/14400*(F11*20)</f>
        <v>250000</v>
      </c>
      <c r="H11" s="51" t="s">
        <v>30</v>
      </c>
      <c r="I11" s="52">
        <v>35</v>
      </c>
      <c r="J11" s="53">
        <f>I11</f>
        <v>35</v>
      </c>
      <c r="K11" s="53">
        <f t="shared" ref="K11:AC11" si="1">J11</f>
        <v>35</v>
      </c>
      <c r="L11" s="53">
        <f t="shared" si="1"/>
        <v>35</v>
      </c>
      <c r="M11" s="53">
        <f t="shared" si="1"/>
        <v>35</v>
      </c>
      <c r="N11" s="53">
        <f t="shared" si="1"/>
        <v>35</v>
      </c>
      <c r="O11" s="53">
        <v>34</v>
      </c>
      <c r="P11" s="53">
        <f t="shared" si="1"/>
        <v>34</v>
      </c>
      <c r="Q11" s="53">
        <f t="shared" si="1"/>
        <v>34</v>
      </c>
      <c r="R11" s="53">
        <f t="shared" si="1"/>
        <v>34</v>
      </c>
      <c r="S11" s="53">
        <f t="shared" si="1"/>
        <v>34</v>
      </c>
      <c r="T11" s="53">
        <f t="shared" si="1"/>
        <v>34</v>
      </c>
      <c r="U11" s="53">
        <f t="shared" si="1"/>
        <v>34</v>
      </c>
      <c r="V11" s="53">
        <f t="shared" si="1"/>
        <v>34</v>
      </c>
      <c r="W11" s="53">
        <f t="shared" si="1"/>
        <v>34</v>
      </c>
      <c r="X11" s="53">
        <f t="shared" si="1"/>
        <v>34</v>
      </c>
      <c r="Y11" s="53">
        <f t="shared" si="1"/>
        <v>34</v>
      </c>
      <c r="Z11" s="53">
        <f t="shared" si="1"/>
        <v>34</v>
      </c>
      <c r="AA11" s="53">
        <f t="shared" si="1"/>
        <v>34</v>
      </c>
      <c r="AB11" s="53">
        <f t="shared" si="1"/>
        <v>34</v>
      </c>
      <c r="AC11" s="54">
        <f t="shared" si="1"/>
        <v>34</v>
      </c>
    </row>
    <row r="12" spans="1:33" s="55" customFormat="1" ht="105.6" customHeight="1" x14ac:dyDescent="0.55000000000000004">
      <c r="A12" s="44"/>
      <c r="B12" s="45"/>
      <c r="C12" s="46"/>
      <c r="D12" s="47">
        <f>3000*0.85*F12</f>
        <v>275400</v>
      </c>
      <c r="E12" s="48"/>
      <c r="F12" s="56">
        <v>108</v>
      </c>
      <c r="G12" s="57" t="s">
        <v>31</v>
      </c>
      <c r="H12" s="51"/>
      <c r="I12" s="58" t="s">
        <v>32</v>
      </c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9"/>
    </row>
    <row r="13" spans="1:33" s="55" customFormat="1" ht="88.7" customHeight="1" x14ac:dyDescent="0.55000000000000004">
      <c r="A13" s="44"/>
      <c r="B13" s="60"/>
      <c r="C13" s="61"/>
      <c r="D13" s="62">
        <f>3000*0.85*F13</f>
        <v>844050</v>
      </c>
      <c r="E13" s="63"/>
      <c r="F13" s="64">
        <v>331</v>
      </c>
      <c r="G13" s="57" t="s">
        <v>31</v>
      </c>
      <c r="H13" s="65"/>
      <c r="I13" s="58" t="s">
        <v>46</v>
      </c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9"/>
    </row>
    <row r="14" spans="1:33" s="76" customFormat="1" ht="80.099999999999994" customHeight="1" thickBot="1" x14ac:dyDescent="0.6">
      <c r="A14" s="34"/>
      <c r="B14" s="66" t="s">
        <v>16</v>
      </c>
      <c r="C14" s="67"/>
      <c r="D14" s="68">
        <f>SUM(D11:D13)</f>
        <v>2955450</v>
      </c>
      <c r="E14" s="69"/>
      <c r="F14" s="70">
        <f>SUM(F11:F13)</f>
        <v>1159</v>
      </c>
      <c r="G14" s="71">
        <f>SUM(G11:G13)</f>
        <v>250000</v>
      </c>
      <c r="H14" s="72"/>
      <c r="I14" s="73">
        <f>SUM(I11)</f>
        <v>35</v>
      </c>
      <c r="J14" s="74">
        <f t="shared" ref="J14:AC14" si="2">SUM(J11:J13)</f>
        <v>35</v>
      </c>
      <c r="K14" s="74">
        <f t="shared" si="2"/>
        <v>35</v>
      </c>
      <c r="L14" s="74">
        <f t="shared" si="2"/>
        <v>35</v>
      </c>
      <c r="M14" s="74">
        <f t="shared" si="2"/>
        <v>35</v>
      </c>
      <c r="N14" s="74">
        <f t="shared" si="2"/>
        <v>35</v>
      </c>
      <c r="O14" s="74">
        <f t="shared" si="2"/>
        <v>34</v>
      </c>
      <c r="P14" s="74">
        <f t="shared" si="2"/>
        <v>34</v>
      </c>
      <c r="Q14" s="74">
        <f t="shared" si="2"/>
        <v>34</v>
      </c>
      <c r="R14" s="74">
        <f t="shared" si="2"/>
        <v>34</v>
      </c>
      <c r="S14" s="74">
        <f t="shared" si="2"/>
        <v>34</v>
      </c>
      <c r="T14" s="74">
        <f t="shared" si="2"/>
        <v>34</v>
      </c>
      <c r="U14" s="74">
        <f t="shared" si="2"/>
        <v>34</v>
      </c>
      <c r="V14" s="74">
        <f t="shared" si="2"/>
        <v>34</v>
      </c>
      <c r="W14" s="74">
        <f t="shared" si="2"/>
        <v>34</v>
      </c>
      <c r="X14" s="74">
        <f t="shared" si="2"/>
        <v>34</v>
      </c>
      <c r="Y14" s="74">
        <f t="shared" si="2"/>
        <v>34</v>
      </c>
      <c r="Z14" s="74">
        <f t="shared" si="2"/>
        <v>34</v>
      </c>
      <c r="AA14" s="74">
        <f t="shared" si="2"/>
        <v>34</v>
      </c>
      <c r="AB14" s="74">
        <f t="shared" si="2"/>
        <v>34</v>
      </c>
      <c r="AC14" s="75">
        <f t="shared" si="2"/>
        <v>34</v>
      </c>
      <c r="AG14" s="77" t="s">
        <v>33</v>
      </c>
    </row>
    <row r="15" spans="1:33" ht="60" customHeight="1" thickTop="1" x14ac:dyDescent="0.55000000000000004">
      <c r="A15" s="4"/>
      <c r="B15" s="4"/>
      <c r="C15" s="4"/>
      <c r="D15" s="7"/>
      <c r="E15" s="7"/>
      <c r="F15" s="5"/>
      <c r="G15" s="5"/>
      <c r="H15" s="5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G15" s="77" t="s">
        <v>34</v>
      </c>
    </row>
    <row r="16" spans="1:33" ht="60" customHeight="1" x14ac:dyDescent="0.55000000000000004">
      <c r="A16" s="4"/>
      <c r="B16" s="4"/>
      <c r="C16" s="4"/>
      <c r="D16" s="7"/>
      <c r="E16" s="7"/>
      <c r="F16" s="5"/>
      <c r="G16" s="5"/>
      <c r="H16" s="5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G16" s="81" t="s">
        <v>35</v>
      </c>
    </row>
    <row r="17" spans="1:33" ht="60" customHeight="1" x14ac:dyDescent="0.55000000000000004">
      <c r="A17" s="79"/>
      <c r="B17" s="4"/>
      <c r="C17" s="4"/>
      <c r="D17" s="82"/>
      <c r="E17" s="82"/>
      <c r="F17" s="83" t="s">
        <v>36</v>
      </c>
      <c r="G17" s="84">
        <f>G11</f>
        <v>250000</v>
      </c>
      <c r="H17" s="85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G17" s="77" t="s">
        <v>37</v>
      </c>
    </row>
    <row r="18" spans="1:33" ht="60" customHeight="1" x14ac:dyDescent="0.55000000000000004">
      <c r="A18" s="79"/>
      <c r="B18" s="4"/>
      <c r="C18" s="4"/>
      <c r="D18" s="82"/>
      <c r="E18" s="82"/>
      <c r="F18" s="87" t="s">
        <v>38</v>
      </c>
      <c r="G18" s="88">
        <f>G17*0.03</f>
        <v>7500</v>
      </c>
      <c r="H18" s="85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G18" s="77" t="s">
        <v>39</v>
      </c>
    </row>
    <row r="19" spans="1:33" ht="60" customHeight="1" x14ac:dyDescent="0.55000000000000004">
      <c r="A19" s="79"/>
      <c r="B19" s="4"/>
      <c r="C19" s="4"/>
      <c r="D19" s="82"/>
      <c r="E19" s="82"/>
      <c r="F19" s="87" t="s">
        <v>40</v>
      </c>
      <c r="G19" s="88">
        <f>SUM(G17:G18)*0.05</f>
        <v>12875</v>
      </c>
      <c r="H19" s="85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</row>
    <row r="20" spans="1:33" ht="60" customHeight="1" x14ac:dyDescent="0.55000000000000004">
      <c r="A20" s="79"/>
      <c r="B20" s="4"/>
      <c r="C20" s="4"/>
      <c r="D20" s="82"/>
      <c r="E20" s="82"/>
      <c r="F20" s="87" t="s">
        <v>41</v>
      </c>
      <c r="G20" s="90">
        <f>SUM(G17:G19)</f>
        <v>270375</v>
      </c>
      <c r="H20" s="85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</row>
    <row r="21" spans="1:33" ht="55.7" customHeight="1" x14ac:dyDescent="0.55000000000000004">
      <c r="A21" s="3" t="s">
        <v>42</v>
      </c>
      <c r="B21" s="4"/>
      <c r="C21" s="4"/>
      <c r="D21" s="4"/>
      <c r="E21" s="4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33" ht="55.7" customHeight="1" x14ac:dyDescent="0.55000000000000004">
      <c r="A22" s="3" t="s">
        <v>43</v>
      </c>
      <c r="B22" s="24"/>
      <c r="C22" s="24"/>
      <c r="D22" s="24"/>
      <c r="E22" s="24"/>
      <c r="F22" s="91"/>
      <c r="G22" s="91"/>
      <c r="H22" s="91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</row>
    <row r="23" spans="1:33" ht="55.7" customHeight="1" x14ac:dyDescent="0.55000000000000004">
      <c r="A23" s="3" t="s">
        <v>44</v>
      </c>
      <c r="B23" s="93"/>
      <c r="C23" s="24"/>
      <c r="D23" s="24"/>
      <c r="E23" s="24"/>
      <c r="F23" s="91"/>
      <c r="G23" s="91"/>
      <c r="H23" s="91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</row>
    <row r="24" spans="1:33" ht="55.7" customHeight="1" x14ac:dyDescent="0.55000000000000004">
      <c r="A24" s="3" t="s">
        <v>45</v>
      </c>
      <c r="B24" s="94"/>
      <c r="C24" s="24"/>
      <c r="D24" s="24"/>
      <c r="E24" s="24"/>
      <c r="F24" s="91"/>
      <c r="G24" s="91"/>
      <c r="H24" s="91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</row>
    <row r="25" spans="1:33" ht="55.7" customHeight="1" x14ac:dyDescent="0.55000000000000004">
      <c r="A25" s="24"/>
      <c r="B25" s="24"/>
      <c r="C25" s="24"/>
      <c r="D25" s="24"/>
      <c r="E25" s="24"/>
      <c r="F25" s="91"/>
      <c r="G25" s="91"/>
      <c r="H25" s="91"/>
      <c r="I25" s="95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</row>
    <row r="26" spans="1:33" ht="55.7" customHeight="1" x14ac:dyDescent="0.55000000000000004">
      <c r="A26" s="24"/>
      <c r="B26" s="93"/>
      <c r="C26" s="24"/>
      <c r="D26" s="24"/>
      <c r="E26" s="24"/>
      <c r="F26" s="91"/>
      <c r="G26" s="91"/>
      <c r="H26" s="91"/>
      <c r="I26" s="95"/>
      <c r="J26" s="77"/>
      <c r="K26" s="77"/>
      <c r="L26" s="77"/>
      <c r="M26" s="77"/>
      <c r="N26" s="77"/>
      <c r="O26" s="77"/>
      <c r="P26" s="77"/>
      <c r="Q26" s="77"/>
      <c r="R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</row>
    <row r="27" spans="1:33" ht="27.7" x14ac:dyDescent="0.55000000000000004">
      <c r="A27" s="24"/>
      <c r="B27" s="94"/>
      <c r="C27" s="24"/>
      <c r="D27" s="24"/>
      <c r="E27" s="24"/>
      <c r="F27" s="91"/>
      <c r="G27" s="91"/>
      <c r="H27" s="91"/>
      <c r="I27" s="77"/>
      <c r="J27" s="77"/>
      <c r="K27" s="77"/>
      <c r="L27" s="77"/>
      <c r="M27" s="77"/>
      <c r="N27" s="77"/>
      <c r="O27" s="77"/>
      <c r="P27" s="77"/>
      <c r="Q27" s="77"/>
      <c r="R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</row>
    <row r="28" spans="1:33" ht="25.7" x14ac:dyDescent="0.55000000000000004">
      <c r="F28" s="91"/>
      <c r="G28" s="91"/>
      <c r="H28" s="91"/>
    </row>
  </sheetData>
  <mergeCells count="21">
    <mergeCell ref="I12:AC12"/>
    <mergeCell ref="I13:AC13"/>
    <mergeCell ref="B14:C14"/>
    <mergeCell ref="I15:Z15"/>
    <mergeCell ref="AA15:AC15"/>
    <mergeCell ref="I17:Z17"/>
    <mergeCell ref="AA17:AC17"/>
    <mergeCell ref="H8:H10"/>
    <mergeCell ref="A11:A14"/>
    <mergeCell ref="B11:B13"/>
    <mergeCell ref="C11:C13"/>
    <mergeCell ref="E11:E13"/>
    <mergeCell ref="H11:H13"/>
    <mergeCell ref="D7:G7"/>
    <mergeCell ref="A8:A10"/>
    <mergeCell ref="B8:B10"/>
    <mergeCell ref="C8:C10"/>
    <mergeCell ref="D8:D10"/>
    <mergeCell ref="E8:E10"/>
    <mergeCell ref="F8:F10"/>
    <mergeCell ref="G8:G10"/>
  </mergeCells>
  <phoneticPr fontId="4" type="noConversion"/>
  <pageMargins left="0.31496062992125984" right="0.31496062992125984" top="0.74803149606299213" bottom="0.74803149606299213" header="0.31496062992125984" footer="0.31496062992125984"/>
  <pageSetup paperSize="9" scale="3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A20B-4F1D-4AF5-AAFB-4876ED13475D}">
  <sheetPr>
    <tabColor rgb="FFFFFF00"/>
    <pageSetUpPr fitToPage="1"/>
  </sheetPr>
  <dimension ref="A1:AG28"/>
  <sheetViews>
    <sheetView showGridLines="0" view="pageBreakPreview" zoomScale="40" zoomScaleNormal="60" zoomScaleSheetLayoutView="40" workbookViewId="0">
      <selection activeCell="D13" sqref="D13"/>
    </sheetView>
  </sheetViews>
  <sheetFormatPr defaultColWidth="8.87890625" defaultRowHeight="15.7" x14ac:dyDescent="0.55000000000000004"/>
  <cols>
    <col min="1" max="1" width="43.87890625" style="97" customWidth="1"/>
    <col min="2" max="2" width="22" style="97" customWidth="1"/>
    <col min="3" max="3" width="38.76171875" style="97" customWidth="1"/>
    <col min="4" max="4" width="25.76171875" style="97" customWidth="1"/>
    <col min="5" max="5" width="23.1171875" style="97" customWidth="1"/>
    <col min="6" max="6" width="22.64453125" style="98" customWidth="1"/>
    <col min="7" max="7" width="30.64453125" style="98" customWidth="1"/>
    <col min="8" max="8" width="26.64453125" style="98" customWidth="1"/>
    <col min="9" max="29" width="10.3515625" style="96" customWidth="1"/>
    <col min="30" max="230" width="8.87890625" style="79"/>
    <col min="231" max="231" width="14.3515625" style="79" customWidth="1"/>
    <col min="232" max="232" width="21.87890625" style="79" customWidth="1"/>
    <col min="233" max="233" width="16" style="79" customWidth="1"/>
    <col min="234" max="234" width="54" style="79" customWidth="1"/>
    <col min="235" max="235" width="22.1171875" style="79" customWidth="1"/>
    <col min="236" max="236" width="21.46875" style="79" customWidth="1"/>
    <col min="237" max="237" width="17.87890625" style="79" customWidth="1"/>
    <col min="238" max="238" width="17" style="79" customWidth="1"/>
    <col min="239" max="240" width="28.1171875" style="79" customWidth="1"/>
    <col min="241" max="241" width="26.46875" style="79" customWidth="1"/>
    <col min="242" max="258" width="11.64453125" style="79" customWidth="1"/>
    <col min="259" max="259" width="16.3515625" style="79" customWidth="1"/>
    <col min="260" max="260" width="13.87890625" style="79" customWidth="1"/>
    <col min="261" max="264" width="11.64453125" style="79" customWidth="1"/>
    <col min="265" max="265" width="20.1171875" style="79" customWidth="1"/>
    <col min="266" max="267" width="2.64453125" style="79" customWidth="1"/>
    <col min="268" max="486" width="8.87890625" style="79"/>
    <col min="487" max="487" width="14.3515625" style="79" customWidth="1"/>
    <col min="488" max="488" width="21.87890625" style="79" customWidth="1"/>
    <col min="489" max="489" width="16" style="79" customWidth="1"/>
    <col min="490" max="490" width="54" style="79" customWidth="1"/>
    <col min="491" max="491" width="22.1171875" style="79" customWidth="1"/>
    <col min="492" max="492" width="21.46875" style="79" customWidth="1"/>
    <col min="493" max="493" width="17.87890625" style="79" customWidth="1"/>
    <col min="494" max="494" width="17" style="79" customWidth="1"/>
    <col min="495" max="496" width="28.1171875" style="79" customWidth="1"/>
    <col min="497" max="497" width="26.46875" style="79" customWidth="1"/>
    <col min="498" max="514" width="11.64453125" style="79" customWidth="1"/>
    <col min="515" max="515" width="16.3515625" style="79" customWidth="1"/>
    <col min="516" max="516" width="13.87890625" style="79" customWidth="1"/>
    <col min="517" max="520" width="11.64453125" style="79" customWidth="1"/>
    <col min="521" max="521" width="20.1171875" style="79" customWidth="1"/>
    <col min="522" max="523" width="2.64453125" style="79" customWidth="1"/>
    <col min="524" max="742" width="8.87890625" style="79"/>
    <col min="743" max="743" width="14.3515625" style="79" customWidth="1"/>
    <col min="744" max="744" width="21.87890625" style="79" customWidth="1"/>
    <col min="745" max="745" width="16" style="79" customWidth="1"/>
    <col min="746" max="746" width="54" style="79" customWidth="1"/>
    <col min="747" max="747" width="22.1171875" style="79" customWidth="1"/>
    <col min="748" max="748" width="21.46875" style="79" customWidth="1"/>
    <col min="749" max="749" width="17.87890625" style="79" customWidth="1"/>
    <col min="750" max="750" width="17" style="79" customWidth="1"/>
    <col min="751" max="752" width="28.1171875" style="79" customWidth="1"/>
    <col min="753" max="753" width="26.46875" style="79" customWidth="1"/>
    <col min="754" max="770" width="11.64453125" style="79" customWidth="1"/>
    <col min="771" max="771" width="16.3515625" style="79" customWidth="1"/>
    <col min="772" max="772" width="13.87890625" style="79" customWidth="1"/>
    <col min="773" max="776" width="11.64453125" style="79" customWidth="1"/>
    <col min="777" max="777" width="20.1171875" style="79" customWidth="1"/>
    <col min="778" max="779" width="2.64453125" style="79" customWidth="1"/>
    <col min="780" max="998" width="8.87890625" style="79"/>
    <col min="999" max="999" width="14.3515625" style="79" customWidth="1"/>
    <col min="1000" max="1000" width="21.87890625" style="79" customWidth="1"/>
    <col min="1001" max="1001" width="16" style="79" customWidth="1"/>
    <col min="1002" max="1002" width="54" style="79" customWidth="1"/>
    <col min="1003" max="1003" width="22.1171875" style="79" customWidth="1"/>
    <col min="1004" max="1004" width="21.46875" style="79" customWidth="1"/>
    <col min="1005" max="1005" width="17.87890625" style="79" customWidth="1"/>
    <col min="1006" max="1006" width="17" style="79" customWidth="1"/>
    <col min="1007" max="1008" width="28.1171875" style="79" customWidth="1"/>
    <col min="1009" max="1009" width="26.46875" style="79" customWidth="1"/>
    <col min="1010" max="1026" width="11.64453125" style="79" customWidth="1"/>
    <col min="1027" max="1027" width="16.3515625" style="79" customWidth="1"/>
    <col min="1028" max="1028" width="13.87890625" style="79" customWidth="1"/>
    <col min="1029" max="1032" width="11.64453125" style="79" customWidth="1"/>
    <col min="1033" max="1033" width="20.1171875" style="79" customWidth="1"/>
    <col min="1034" max="1035" width="2.64453125" style="79" customWidth="1"/>
    <col min="1036" max="1254" width="8.87890625" style="79"/>
    <col min="1255" max="1255" width="14.3515625" style="79" customWidth="1"/>
    <col min="1256" max="1256" width="21.87890625" style="79" customWidth="1"/>
    <col min="1257" max="1257" width="16" style="79" customWidth="1"/>
    <col min="1258" max="1258" width="54" style="79" customWidth="1"/>
    <col min="1259" max="1259" width="22.1171875" style="79" customWidth="1"/>
    <col min="1260" max="1260" width="21.46875" style="79" customWidth="1"/>
    <col min="1261" max="1261" width="17.87890625" style="79" customWidth="1"/>
    <col min="1262" max="1262" width="17" style="79" customWidth="1"/>
    <col min="1263" max="1264" width="28.1171875" style="79" customWidth="1"/>
    <col min="1265" max="1265" width="26.46875" style="79" customWidth="1"/>
    <col min="1266" max="1282" width="11.64453125" style="79" customWidth="1"/>
    <col min="1283" max="1283" width="16.3515625" style="79" customWidth="1"/>
    <col min="1284" max="1284" width="13.87890625" style="79" customWidth="1"/>
    <col min="1285" max="1288" width="11.64453125" style="79" customWidth="1"/>
    <col min="1289" max="1289" width="20.1171875" style="79" customWidth="1"/>
    <col min="1290" max="1291" width="2.64453125" style="79" customWidth="1"/>
    <col min="1292" max="1510" width="8.87890625" style="79"/>
    <col min="1511" max="1511" width="14.3515625" style="79" customWidth="1"/>
    <col min="1512" max="1512" width="21.87890625" style="79" customWidth="1"/>
    <col min="1513" max="1513" width="16" style="79" customWidth="1"/>
    <col min="1514" max="1514" width="54" style="79" customWidth="1"/>
    <col min="1515" max="1515" width="22.1171875" style="79" customWidth="1"/>
    <col min="1516" max="1516" width="21.46875" style="79" customWidth="1"/>
    <col min="1517" max="1517" width="17.87890625" style="79" customWidth="1"/>
    <col min="1518" max="1518" width="17" style="79" customWidth="1"/>
    <col min="1519" max="1520" width="28.1171875" style="79" customWidth="1"/>
    <col min="1521" max="1521" width="26.46875" style="79" customWidth="1"/>
    <col min="1522" max="1538" width="11.64453125" style="79" customWidth="1"/>
    <col min="1539" max="1539" width="16.3515625" style="79" customWidth="1"/>
    <col min="1540" max="1540" width="13.87890625" style="79" customWidth="1"/>
    <col min="1541" max="1544" width="11.64453125" style="79" customWidth="1"/>
    <col min="1545" max="1545" width="20.1171875" style="79" customWidth="1"/>
    <col min="1546" max="1547" width="2.64453125" style="79" customWidth="1"/>
    <col min="1548" max="1766" width="8.87890625" style="79"/>
    <col min="1767" max="1767" width="14.3515625" style="79" customWidth="1"/>
    <col min="1768" max="1768" width="21.87890625" style="79" customWidth="1"/>
    <col min="1769" max="1769" width="16" style="79" customWidth="1"/>
    <col min="1770" max="1770" width="54" style="79" customWidth="1"/>
    <col min="1771" max="1771" width="22.1171875" style="79" customWidth="1"/>
    <col min="1772" max="1772" width="21.46875" style="79" customWidth="1"/>
    <col min="1773" max="1773" width="17.87890625" style="79" customWidth="1"/>
    <col min="1774" max="1774" width="17" style="79" customWidth="1"/>
    <col min="1775" max="1776" width="28.1171875" style="79" customWidth="1"/>
    <col min="1777" max="1777" width="26.46875" style="79" customWidth="1"/>
    <col min="1778" max="1794" width="11.64453125" style="79" customWidth="1"/>
    <col min="1795" max="1795" width="16.3515625" style="79" customWidth="1"/>
    <col min="1796" max="1796" width="13.87890625" style="79" customWidth="1"/>
    <col min="1797" max="1800" width="11.64453125" style="79" customWidth="1"/>
    <col min="1801" max="1801" width="20.1171875" style="79" customWidth="1"/>
    <col min="1802" max="1803" width="2.64453125" style="79" customWidth="1"/>
    <col min="1804" max="2022" width="8.87890625" style="79"/>
    <col min="2023" max="2023" width="14.3515625" style="79" customWidth="1"/>
    <col min="2024" max="2024" width="21.87890625" style="79" customWidth="1"/>
    <col min="2025" max="2025" width="16" style="79" customWidth="1"/>
    <col min="2026" max="2026" width="54" style="79" customWidth="1"/>
    <col min="2027" max="2027" width="22.1171875" style="79" customWidth="1"/>
    <col min="2028" max="2028" width="21.46875" style="79" customWidth="1"/>
    <col min="2029" max="2029" width="17.87890625" style="79" customWidth="1"/>
    <col min="2030" max="2030" width="17" style="79" customWidth="1"/>
    <col min="2031" max="2032" width="28.1171875" style="79" customWidth="1"/>
    <col min="2033" max="2033" width="26.46875" style="79" customWidth="1"/>
    <col min="2034" max="2050" width="11.64453125" style="79" customWidth="1"/>
    <col min="2051" max="2051" width="16.3515625" style="79" customWidth="1"/>
    <col min="2052" max="2052" width="13.87890625" style="79" customWidth="1"/>
    <col min="2053" max="2056" width="11.64453125" style="79" customWidth="1"/>
    <col min="2057" max="2057" width="20.1171875" style="79" customWidth="1"/>
    <col min="2058" max="2059" width="2.64453125" style="79" customWidth="1"/>
    <col min="2060" max="2278" width="8.87890625" style="79"/>
    <col min="2279" max="2279" width="14.3515625" style="79" customWidth="1"/>
    <col min="2280" max="2280" width="21.87890625" style="79" customWidth="1"/>
    <col min="2281" max="2281" width="16" style="79" customWidth="1"/>
    <col min="2282" max="2282" width="54" style="79" customWidth="1"/>
    <col min="2283" max="2283" width="22.1171875" style="79" customWidth="1"/>
    <col min="2284" max="2284" width="21.46875" style="79" customWidth="1"/>
    <col min="2285" max="2285" width="17.87890625" style="79" customWidth="1"/>
    <col min="2286" max="2286" width="17" style="79" customWidth="1"/>
    <col min="2287" max="2288" width="28.1171875" style="79" customWidth="1"/>
    <col min="2289" max="2289" width="26.46875" style="79" customWidth="1"/>
    <col min="2290" max="2306" width="11.64453125" style="79" customWidth="1"/>
    <col min="2307" max="2307" width="16.3515625" style="79" customWidth="1"/>
    <col min="2308" max="2308" width="13.87890625" style="79" customWidth="1"/>
    <col min="2309" max="2312" width="11.64453125" style="79" customWidth="1"/>
    <col min="2313" max="2313" width="20.1171875" style="79" customWidth="1"/>
    <col min="2314" max="2315" width="2.64453125" style="79" customWidth="1"/>
    <col min="2316" max="2534" width="8.87890625" style="79"/>
    <col min="2535" max="2535" width="14.3515625" style="79" customWidth="1"/>
    <col min="2536" max="2536" width="21.87890625" style="79" customWidth="1"/>
    <col min="2537" max="2537" width="16" style="79" customWidth="1"/>
    <col min="2538" max="2538" width="54" style="79" customWidth="1"/>
    <col min="2539" max="2539" width="22.1171875" style="79" customWidth="1"/>
    <col min="2540" max="2540" width="21.46875" style="79" customWidth="1"/>
    <col min="2541" max="2541" width="17.87890625" style="79" customWidth="1"/>
    <col min="2542" max="2542" width="17" style="79" customWidth="1"/>
    <col min="2543" max="2544" width="28.1171875" style="79" customWidth="1"/>
    <col min="2545" max="2545" width="26.46875" style="79" customWidth="1"/>
    <col min="2546" max="2562" width="11.64453125" style="79" customWidth="1"/>
    <col min="2563" max="2563" width="16.3515625" style="79" customWidth="1"/>
    <col min="2564" max="2564" width="13.87890625" style="79" customWidth="1"/>
    <col min="2565" max="2568" width="11.64453125" style="79" customWidth="1"/>
    <col min="2569" max="2569" width="20.1171875" style="79" customWidth="1"/>
    <col min="2570" max="2571" width="2.64453125" style="79" customWidth="1"/>
    <col min="2572" max="2790" width="8.87890625" style="79"/>
    <col min="2791" max="2791" width="14.3515625" style="79" customWidth="1"/>
    <col min="2792" max="2792" width="21.87890625" style="79" customWidth="1"/>
    <col min="2793" max="2793" width="16" style="79" customWidth="1"/>
    <col min="2794" max="2794" width="54" style="79" customWidth="1"/>
    <col min="2795" max="2795" width="22.1171875" style="79" customWidth="1"/>
    <col min="2796" max="2796" width="21.46875" style="79" customWidth="1"/>
    <col min="2797" max="2797" width="17.87890625" style="79" customWidth="1"/>
    <col min="2798" max="2798" width="17" style="79" customWidth="1"/>
    <col min="2799" max="2800" width="28.1171875" style="79" customWidth="1"/>
    <col min="2801" max="2801" width="26.46875" style="79" customWidth="1"/>
    <col min="2802" max="2818" width="11.64453125" style="79" customWidth="1"/>
    <col min="2819" max="2819" width="16.3515625" style="79" customWidth="1"/>
    <col min="2820" max="2820" width="13.87890625" style="79" customWidth="1"/>
    <col min="2821" max="2824" width="11.64453125" style="79" customWidth="1"/>
    <col min="2825" max="2825" width="20.1171875" style="79" customWidth="1"/>
    <col min="2826" max="2827" width="2.64453125" style="79" customWidth="1"/>
    <col min="2828" max="3046" width="8.87890625" style="79"/>
    <col min="3047" max="3047" width="14.3515625" style="79" customWidth="1"/>
    <col min="3048" max="3048" width="21.87890625" style="79" customWidth="1"/>
    <col min="3049" max="3049" width="16" style="79" customWidth="1"/>
    <col min="3050" max="3050" width="54" style="79" customWidth="1"/>
    <col min="3051" max="3051" width="22.1171875" style="79" customWidth="1"/>
    <col min="3052" max="3052" width="21.46875" style="79" customWidth="1"/>
    <col min="3053" max="3053" width="17.87890625" style="79" customWidth="1"/>
    <col min="3054" max="3054" width="17" style="79" customWidth="1"/>
    <col min="3055" max="3056" width="28.1171875" style="79" customWidth="1"/>
    <col min="3057" max="3057" width="26.46875" style="79" customWidth="1"/>
    <col min="3058" max="3074" width="11.64453125" style="79" customWidth="1"/>
    <col min="3075" max="3075" width="16.3515625" style="79" customWidth="1"/>
    <col min="3076" max="3076" width="13.87890625" style="79" customWidth="1"/>
    <col min="3077" max="3080" width="11.64453125" style="79" customWidth="1"/>
    <col min="3081" max="3081" width="20.1171875" style="79" customWidth="1"/>
    <col min="3082" max="3083" width="2.64453125" style="79" customWidth="1"/>
    <col min="3084" max="3302" width="8.87890625" style="79"/>
    <col min="3303" max="3303" width="14.3515625" style="79" customWidth="1"/>
    <col min="3304" max="3304" width="21.87890625" style="79" customWidth="1"/>
    <col min="3305" max="3305" width="16" style="79" customWidth="1"/>
    <col min="3306" max="3306" width="54" style="79" customWidth="1"/>
    <col min="3307" max="3307" width="22.1171875" style="79" customWidth="1"/>
    <col min="3308" max="3308" width="21.46875" style="79" customWidth="1"/>
    <col min="3309" max="3309" width="17.87890625" style="79" customWidth="1"/>
    <col min="3310" max="3310" width="17" style="79" customWidth="1"/>
    <col min="3311" max="3312" width="28.1171875" style="79" customWidth="1"/>
    <col min="3313" max="3313" width="26.46875" style="79" customWidth="1"/>
    <col min="3314" max="3330" width="11.64453125" style="79" customWidth="1"/>
    <col min="3331" max="3331" width="16.3515625" style="79" customWidth="1"/>
    <col min="3332" max="3332" width="13.87890625" style="79" customWidth="1"/>
    <col min="3333" max="3336" width="11.64453125" style="79" customWidth="1"/>
    <col min="3337" max="3337" width="20.1171875" style="79" customWidth="1"/>
    <col min="3338" max="3339" width="2.64453125" style="79" customWidth="1"/>
    <col min="3340" max="3558" width="8.87890625" style="79"/>
    <col min="3559" max="3559" width="14.3515625" style="79" customWidth="1"/>
    <col min="3560" max="3560" width="21.87890625" style="79" customWidth="1"/>
    <col min="3561" max="3561" width="16" style="79" customWidth="1"/>
    <col min="3562" max="3562" width="54" style="79" customWidth="1"/>
    <col min="3563" max="3563" width="22.1171875" style="79" customWidth="1"/>
    <col min="3564" max="3564" width="21.46875" style="79" customWidth="1"/>
    <col min="3565" max="3565" width="17.87890625" style="79" customWidth="1"/>
    <col min="3566" max="3566" width="17" style="79" customWidth="1"/>
    <col min="3567" max="3568" width="28.1171875" style="79" customWidth="1"/>
    <col min="3569" max="3569" width="26.46875" style="79" customWidth="1"/>
    <col min="3570" max="3586" width="11.64453125" style="79" customWidth="1"/>
    <col min="3587" max="3587" width="16.3515625" style="79" customWidth="1"/>
    <col min="3588" max="3588" width="13.87890625" style="79" customWidth="1"/>
    <col min="3589" max="3592" width="11.64453125" style="79" customWidth="1"/>
    <col min="3593" max="3593" width="20.1171875" style="79" customWidth="1"/>
    <col min="3594" max="3595" width="2.64453125" style="79" customWidth="1"/>
    <col min="3596" max="3814" width="8.87890625" style="79"/>
    <col min="3815" max="3815" width="14.3515625" style="79" customWidth="1"/>
    <col min="3816" max="3816" width="21.87890625" style="79" customWidth="1"/>
    <col min="3817" max="3817" width="16" style="79" customWidth="1"/>
    <col min="3818" max="3818" width="54" style="79" customWidth="1"/>
    <col min="3819" max="3819" width="22.1171875" style="79" customWidth="1"/>
    <col min="3820" max="3820" width="21.46875" style="79" customWidth="1"/>
    <col min="3821" max="3821" width="17.87890625" style="79" customWidth="1"/>
    <col min="3822" max="3822" width="17" style="79" customWidth="1"/>
    <col min="3823" max="3824" width="28.1171875" style="79" customWidth="1"/>
    <col min="3825" max="3825" width="26.46875" style="79" customWidth="1"/>
    <col min="3826" max="3842" width="11.64453125" style="79" customWidth="1"/>
    <col min="3843" max="3843" width="16.3515625" style="79" customWidth="1"/>
    <col min="3844" max="3844" width="13.87890625" style="79" customWidth="1"/>
    <col min="3845" max="3848" width="11.64453125" style="79" customWidth="1"/>
    <col min="3849" max="3849" width="20.1171875" style="79" customWidth="1"/>
    <col min="3850" max="3851" width="2.64453125" style="79" customWidth="1"/>
    <col min="3852" max="4070" width="8.87890625" style="79"/>
    <col min="4071" max="4071" width="14.3515625" style="79" customWidth="1"/>
    <col min="4072" max="4072" width="21.87890625" style="79" customWidth="1"/>
    <col min="4073" max="4073" width="16" style="79" customWidth="1"/>
    <col min="4074" max="4074" width="54" style="79" customWidth="1"/>
    <col min="4075" max="4075" width="22.1171875" style="79" customWidth="1"/>
    <col min="4076" max="4076" width="21.46875" style="79" customWidth="1"/>
    <col min="4077" max="4077" width="17.87890625" style="79" customWidth="1"/>
    <col min="4078" max="4078" width="17" style="79" customWidth="1"/>
    <col min="4079" max="4080" width="28.1171875" style="79" customWidth="1"/>
    <col min="4081" max="4081" width="26.46875" style="79" customWidth="1"/>
    <col min="4082" max="4098" width="11.64453125" style="79" customWidth="1"/>
    <col min="4099" max="4099" width="16.3515625" style="79" customWidth="1"/>
    <col min="4100" max="4100" width="13.87890625" style="79" customWidth="1"/>
    <col min="4101" max="4104" width="11.64453125" style="79" customWidth="1"/>
    <col min="4105" max="4105" width="20.1171875" style="79" customWidth="1"/>
    <col min="4106" max="4107" width="2.64453125" style="79" customWidth="1"/>
    <col min="4108" max="4326" width="8.87890625" style="79"/>
    <col min="4327" max="4327" width="14.3515625" style="79" customWidth="1"/>
    <col min="4328" max="4328" width="21.87890625" style="79" customWidth="1"/>
    <col min="4329" max="4329" width="16" style="79" customWidth="1"/>
    <col min="4330" max="4330" width="54" style="79" customWidth="1"/>
    <col min="4331" max="4331" width="22.1171875" style="79" customWidth="1"/>
    <col min="4332" max="4332" width="21.46875" style="79" customWidth="1"/>
    <col min="4333" max="4333" width="17.87890625" style="79" customWidth="1"/>
    <col min="4334" max="4334" width="17" style="79" customWidth="1"/>
    <col min="4335" max="4336" width="28.1171875" style="79" customWidth="1"/>
    <col min="4337" max="4337" width="26.46875" style="79" customWidth="1"/>
    <col min="4338" max="4354" width="11.64453125" style="79" customWidth="1"/>
    <col min="4355" max="4355" width="16.3515625" style="79" customWidth="1"/>
    <col min="4356" max="4356" width="13.87890625" style="79" customWidth="1"/>
    <col min="4357" max="4360" width="11.64453125" style="79" customWidth="1"/>
    <col min="4361" max="4361" width="20.1171875" style="79" customWidth="1"/>
    <col min="4362" max="4363" width="2.64453125" style="79" customWidth="1"/>
    <col min="4364" max="4582" width="8.87890625" style="79"/>
    <col min="4583" max="4583" width="14.3515625" style="79" customWidth="1"/>
    <col min="4584" max="4584" width="21.87890625" style="79" customWidth="1"/>
    <col min="4585" max="4585" width="16" style="79" customWidth="1"/>
    <col min="4586" max="4586" width="54" style="79" customWidth="1"/>
    <col min="4587" max="4587" width="22.1171875" style="79" customWidth="1"/>
    <col min="4588" max="4588" width="21.46875" style="79" customWidth="1"/>
    <col min="4589" max="4589" width="17.87890625" style="79" customWidth="1"/>
    <col min="4590" max="4590" width="17" style="79" customWidth="1"/>
    <col min="4591" max="4592" width="28.1171875" style="79" customWidth="1"/>
    <col min="4593" max="4593" width="26.46875" style="79" customWidth="1"/>
    <col min="4594" max="4610" width="11.64453125" style="79" customWidth="1"/>
    <col min="4611" max="4611" width="16.3515625" style="79" customWidth="1"/>
    <col min="4612" max="4612" width="13.87890625" style="79" customWidth="1"/>
    <col min="4613" max="4616" width="11.64453125" style="79" customWidth="1"/>
    <col min="4617" max="4617" width="20.1171875" style="79" customWidth="1"/>
    <col min="4618" max="4619" width="2.64453125" style="79" customWidth="1"/>
    <col min="4620" max="4838" width="8.87890625" style="79"/>
    <col min="4839" max="4839" width="14.3515625" style="79" customWidth="1"/>
    <col min="4840" max="4840" width="21.87890625" style="79" customWidth="1"/>
    <col min="4841" max="4841" width="16" style="79" customWidth="1"/>
    <col min="4842" max="4842" width="54" style="79" customWidth="1"/>
    <col min="4843" max="4843" width="22.1171875" style="79" customWidth="1"/>
    <col min="4844" max="4844" width="21.46875" style="79" customWidth="1"/>
    <col min="4845" max="4845" width="17.87890625" style="79" customWidth="1"/>
    <col min="4846" max="4846" width="17" style="79" customWidth="1"/>
    <col min="4847" max="4848" width="28.1171875" style="79" customWidth="1"/>
    <col min="4849" max="4849" width="26.46875" style="79" customWidth="1"/>
    <col min="4850" max="4866" width="11.64453125" style="79" customWidth="1"/>
    <col min="4867" max="4867" width="16.3515625" style="79" customWidth="1"/>
    <col min="4868" max="4868" width="13.87890625" style="79" customWidth="1"/>
    <col min="4869" max="4872" width="11.64453125" style="79" customWidth="1"/>
    <col min="4873" max="4873" width="20.1171875" style="79" customWidth="1"/>
    <col min="4874" max="4875" width="2.64453125" style="79" customWidth="1"/>
    <col min="4876" max="5094" width="8.87890625" style="79"/>
    <col min="5095" max="5095" width="14.3515625" style="79" customWidth="1"/>
    <col min="5096" max="5096" width="21.87890625" style="79" customWidth="1"/>
    <col min="5097" max="5097" width="16" style="79" customWidth="1"/>
    <col min="5098" max="5098" width="54" style="79" customWidth="1"/>
    <col min="5099" max="5099" width="22.1171875" style="79" customWidth="1"/>
    <col min="5100" max="5100" width="21.46875" style="79" customWidth="1"/>
    <col min="5101" max="5101" width="17.87890625" style="79" customWidth="1"/>
    <col min="5102" max="5102" width="17" style="79" customWidth="1"/>
    <col min="5103" max="5104" width="28.1171875" style="79" customWidth="1"/>
    <col min="5105" max="5105" width="26.46875" style="79" customWidth="1"/>
    <col min="5106" max="5122" width="11.64453125" style="79" customWidth="1"/>
    <col min="5123" max="5123" width="16.3515625" style="79" customWidth="1"/>
    <col min="5124" max="5124" width="13.87890625" style="79" customWidth="1"/>
    <col min="5125" max="5128" width="11.64453125" style="79" customWidth="1"/>
    <col min="5129" max="5129" width="20.1171875" style="79" customWidth="1"/>
    <col min="5130" max="5131" width="2.64453125" style="79" customWidth="1"/>
    <col min="5132" max="5350" width="8.87890625" style="79"/>
    <col min="5351" max="5351" width="14.3515625" style="79" customWidth="1"/>
    <col min="5352" max="5352" width="21.87890625" style="79" customWidth="1"/>
    <col min="5353" max="5353" width="16" style="79" customWidth="1"/>
    <col min="5354" max="5354" width="54" style="79" customWidth="1"/>
    <col min="5355" max="5355" width="22.1171875" style="79" customWidth="1"/>
    <col min="5356" max="5356" width="21.46875" style="79" customWidth="1"/>
    <col min="5357" max="5357" width="17.87890625" style="79" customWidth="1"/>
    <col min="5358" max="5358" width="17" style="79" customWidth="1"/>
    <col min="5359" max="5360" width="28.1171875" style="79" customWidth="1"/>
    <col min="5361" max="5361" width="26.46875" style="79" customWidth="1"/>
    <col min="5362" max="5378" width="11.64453125" style="79" customWidth="1"/>
    <col min="5379" max="5379" width="16.3515625" style="79" customWidth="1"/>
    <col min="5380" max="5380" width="13.87890625" style="79" customWidth="1"/>
    <col min="5381" max="5384" width="11.64453125" style="79" customWidth="1"/>
    <col min="5385" max="5385" width="20.1171875" style="79" customWidth="1"/>
    <col min="5386" max="5387" width="2.64453125" style="79" customWidth="1"/>
    <col min="5388" max="5606" width="8.87890625" style="79"/>
    <col min="5607" max="5607" width="14.3515625" style="79" customWidth="1"/>
    <col min="5608" max="5608" width="21.87890625" style="79" customWidth="1"/>
    <col min="5609" max="5609" width="16" style="79" customWidth="1"/>
    <col min="5610" max="5610" width="54" style="79" customWidth="1"/>
    <col min="5611" max="5611" width="22.1171875" style="79" customWidth="1"/>
    <col min="5612" max="5612" width="21.46875" style="79" customWidth="1"/>
    <col min="5613" max="5613" width="17.87890625" style="79" customWidth="1"/>
    <col min="5614" max="5614" width="17" style="79" customWidth="1"/>
    <col min="5615" max="5616" width="28.1171875" style="79" customWidth="1"/>
    <col min="5617" max="5617" width="26.46875" style="79" customWidth="1"/>
    <col min="5618" max="5634" width="11.64453125" style="79" customWidth="1"/>
    <col min="5635" max="5635" width="16.3515625" style="79" customWidth="1"/>
    <col min="5636" max="5636" width="13.87890625" style="79" customWidth="1"/>
    <col min="5637" max="5640" width="11.64453125" style="79" customWidth="1"/>
    <col min="5641" max="5641" width="20.1171875" style="79" customWidth="1"/>
    <col min="5642" max="5643" width="2.64453125" style="79" customWidth="1"/>
    <col min="5644" max="5862" width="8.87890625" style="79"/>
    <col min="5863" max="5863" width="14.3515625" style="79" customWidth="1"/>
    <col min="5864" max="5864" width="21.87890625" style="79" customWidth="1"/>
    <col min="5865" max="5865" width="16" style="79" customWidth="1"/>
    <col min="5866" max="5866" width="54" style="79" customWidth="1"/>
    <col min="5867" max="5867" width="22.1171875" style="79" customWidth="1"/>
    <col min="5868" max="5868" width="21.46875" style="79" customWidth="1"/>
    <col min="5869" max="5869" width="17.87890625" style="79" customWidth="1"/>
    <col min="5870" max="5870" width="17" style="79" customWidth="1"/>
    <col min="5871" max="5872" width="28.1171875" style="79" customWidth="1"/>
    <col min="5873" max="5873" width="26.46875" style="79" customWidth="1"/>
    <col min="5874" max="5890" width="11.64453125" style="79" customWidth="1"/>
    <col min="5891" max="5891" width="16.3515625" style="79" customWidth="1"/>
    <col min="5892" max="5892" width="13.87890625" style="79" customWidth="1"/>
    <col min="5893" max="5896" width="11.64453125" style="79" customWidth="1"/>
    <col min="5897" max="5897" width="20.1171875" style="79" customWidth="1"/>
    <col min="5898" max="5899" width="2.64453125" style="79" customWidth="1"/>
    <col min="5900" max="6118" width="8.87890625" style="79"/>
    <col min="6119" max="6119" width="14.3515625" style="79" customWidth="1"/>
    <col min="6120" max="6120" width="21.87890625" style="79" customWidth="1"/>
    <col min="6121" max="6121" width="16" style="79" customWidth="1"/>
    <col min="6122" max="6122" width="54" style="79" customWidth="1"/>
    <col min="6123" max="6123" width="22.1171875" style="79" customWidth="1"/>
    <col min="6124" max="6124" width="21.46875" style="79" customWidth="1"/>
    <col min="6125" max="6125" width="17.87890625" style="79" customWidth="1"/>
    <col min="6126" max="6126" width="17" style="79" customWidth="1"/>
    <col min="6127" max="6128" width="28.1171875" style="79" customWidth="1"/>
    <col min="6129" max="6129" width="26.46875" style="79" customWidth="1"/>
    <col min="6130" max="6146" width="11.64453125" style="79" customWidth="1"/>
    <col min="6147" max="6147" width="16.3515625" style="79" customWidth="1"/>
    <col min="6148" max="6148" width="13.87890625" style="79" customWidth="1"/>
    <col min="6149" max="6152" width="11.64453125" style="79" customWidth="1"/>
    <col min="6153" max="6153" width="20.1171875" style="79" customWidth="1"/>
    <col min="6154" max="6155" width="2.64453125" style="79" customWidth="1"/>
    <col min="6156" max="6374" width="8.87890625" style="79"/>
    <col min="6375" max="6375" width="14.3515625" style="79" customWidth="1"/>
    <col min="6376" max="6376" width="21.87890625" style="79" customWidth="1"/>
    <col min="6377" max="6377" width="16" style="79" customWidth="1"/>
    <col min="6378" max="6378" width="54" style="79" customWidth="1"/>
    <col min="6379" max="6379" width="22.1171875" style="79" customWidth="1"/>
    <col min="6380" max="6380" width="21.46875" style="79" customWidth="1"/>
    <col min="6381" max="6381" width="17.87890625" style="79" customWidth="1"/>
    <col min="6382" max="6382" width="17" style="79" customWidth="1"/>
    <col min="6383" max="6384" width="28.1171875" style="79" customWidth="1"/>
    <col min="6385" max="6385" width="26.46875" style="79" customWidth="1"/>
    <col min="6386" max="6402" width="11.64453125" style="79" customWidth="1"/>
    <col min="6403" max="6403" width="16.3515625" style="79" customWidth="1"/>
    <col min="6404" max="6404" width="13.87890625" style="79" customWidth="1"/>
    <col min="6405" max="6408" width="11.64453125" style="79" customWidth="1"/>
    <col min="6409" max="6409" width="20.1171875" style="79" customWidth="1"/>
    <col min="6410" max="6411" width="2.64453125" style="79" customWidth="1"/>
    <col min="6412" max="6630" width="8.87890625" style="79"/>
    <col min="6631" max="6631" width="14.3515625" style="79" customWidth="1"/>
    <col min="6632" max="6632" width="21.87890625" style="79" customWidth="1"/>
    <col min="6633" max="6633" width="16" style="79" customWidth="1"/>
    <col min="6634" max="6634" width="54" style="79" customWidth="1"/>
    <col min="6635" max="6635" width="22.1171875" style="79" customWidth="1"/>
    <col min="6636" max="6636" width="21.46875" style="79" customWidth="1"/>
    <col min="6637" max="6637" width="17.87890625" style="79" customWidth="1"/>
    <col min="6638" max="6638" width="17" style="79" customWidth="1"/>
    <col min="6639" max="6640" width="28.1171875" style="79" customWidth="1"/>
    <col min="6641" max="6641" width="26.46875" style="79" customWidth="1"/>
    <col min="6642" max="6658" width="11.64453125" style="79" customWidth="1"/>
    <col min="6659" max="6659" width="16.3515625" style="79" customWidth="1"/>
    <col min="6660" max="6660" width="13.87890625" style="79" customWidth="1"/>
    <col min="6661" max="6664" width="11.64453125" style="79" customWidth="1"/>
    <col min="6665" max="6665" width="20.1171875" style="79" customWidth="1"/>
    <col min="6666" max="6667" width="2.64453125" style="79" customWidth="1"/>
    <col min="6668" max="6886" width="8.87890625" style="79"/>
    <col min="6887" max="6887" width="14.3515625" style="79" customWidth="1"/>
    <col min="6888" max="6888" width="21.87890625" style="79" customWidth="1"/>
    <col min="6889" max="6889" width="16" style="79" customWidth="1"/>
    <col min="6890" max="6890" width="54" style="79" customWidth="1"/>
    <col min="6891" max="6891" width="22.1171875" style="79" customWidth="1"/>
    <col min="6892" max="6892" width="21.46875" style="79" customWidth="1"/>
    <col min="6893" max="6893" width="17.87890625" style="79" customWidth="1"/>
    <col min="6894" max="6894" width="17" style="79" customWidth="1"/>
    <col min="6895" max="6896" width="28.1171875" style="79" customWidth="1"/>
    <col min="6897" max="6897" width="26.46875" style="79" customWidth="1"/>
    <col min="6898" max="6914" width="11.64453125" style="79" customWidth="1"/>
    <col min="6915" max="6915" width="16.3515625" style="79" customWidth="1"/>
    <col min="6916" max="6916" width="13.87890625" style="79" customWidth="1"/>
    <col min="6917" max="6920" width="11.64453125" style="79" customWidth="1"/>
    <col min="6921" max="6921" width="20.1171875" style="79" customWidth="1"/>
    <col min="6922" max="6923" width="2.64453125" style="79" customWidth="1"/>
    <col min="6924" max="7142" width="8.87890625" style="79"/>
    <col min="7143" max="7143" width="14.3515625" style="79" customWidth="1"/>
    <col min="7144" max="7144" width="21.87890625" style="79" customWidth="1"/>
    <col min="7145" max="7145" width="16" style="79" customWidth="1"/>
    <col min="7146" max="7146" width="54" style="79" customWidth="1"/>
    <col min="7147" max="7147" width="22.1171875" style="79" customWidth="1"/>
    <col min="7148" max="7148" width="21.46875" style="79" customWidth="1"/>
    <col min="7149" max="7149" width="17.87890625" style="79" customWidth="1"/>
    <col min="7150" max="7150" width="17" style="79" customWidth="1"/>
    <col min="7151" max="7152" width="28.1171875" style="79" customWidth="1"/>
    <col min="7153" max="7153" width="26.46875" style="79" customWidth="1"/>
    <col min="7154" max="7170" width="11.64453125" style="79" customWidth="1"/>
    <col min="7171" max="7171" width="16.3515625" style="79" customWidth="1"/>
    <col min="7172" max="7172" width="13.87890625" style="79" customWidth="1"/>
    <col min="7173" max="7176" width="11.64453125" style="79" customWidth="1"/>
    <col min="7177" max="7177" width="20.1171875" style="79" customWidth="1"/>
    <col min="7178" max="7179" width="2.64453125" style="79" customWidth="1"/>
    <col min="7180" max="7398" width="8.87890625" style="79"/>
    <col min="7399" max="7399" width="14.3515625" style="79" customWidth="1"/>
    <col min="7400" max="7400" width="21.87890625" style="79" customWidth="1"/>
    <col min="7401" max="7401" width="16" style="79" customWidth="1"/>
    <col min="7402" max="7402" width="54" style="79" customWidth="1"/>
    <col min="7403" max="7403" width="22.1171875" style="79" customWidth="1"/>
    <col min="7404" max="7404" width="21.46875" style="79" customWidth="1"/>
    <col min="7405" max="7405" width="17.87890625" style="79" customWidth="1"/>
    <col min="7406" max="7406" width="17" style="79" customWidth="1"/>
    <col min="7407" max="7408" width="28.1171875" style="79" customWidth="1"/>
    <col min="7409" max="7409" width="26.46875" style="79" customWidth="1"/>
    <col min="7410" max="7426" width="11.64453125" style="79" customWidth="1"/>
    <col min="7427" max="7427" width="16.3515625" style="79" customWidth="1"/>
    <col min="7428" max="7428" width="13.87890625" style="79" customWidth="1"/>
    <col min="7429" max="7432" width="11.64453125" style="79" customWidth="1"/>
    <col min="7433" max="7433" width="20.1171875" style="79" customWidth="1"/>
    <col min="7434" max="7435" width="2.64453125" style="79" customWidth="1"/>
    <col min="7436" max="7654" width="8.87890625" style="79"/>
    <col min="7655" max="7655" width="14.3515625" style="79" customWidth="1"/>
    <col min="7656" max="7656" width="21.87890625" style="79" customWidth="1"/>
    <col min="7657" max="7657" width="16" style="79" customWidth="1"/>
    <col min="7658" max="7658" width="54" style="79" customWidth="1"/>
    <col min="7659" max="7659" width="22.1171875" style="79" customWidth="1"/>
    <col min="7660" max="7660" width="21.46875" style="79" customWidth="1"/>
    <col min="7661" max="7661" width="17.87890625" style="79" customWidth="1"/>
    <col min="7662" max="7662" width="17" style="79" customWidth="1"/>
    <col min="7663" max="7664" width="28.1171875" style="79" customWidth="1"/>
    <col min="7665" max="7665" width="26.46875" style="79" customWidth="1"/>
    <col min="7666" max="7682" width="11.64453125" style="79" customWidth="1"/>
    <col min="7683" max="7683" width="16.3515625" style="79" customWidth="1"/>
    <col min="7684" max="7684" width="13.87890625" style="79" customWidth="1"/>
    <col min="7685" max="7688" width="11.64453125" style="79" customWidth="1"/>
    <col min="7689" max="7689" width="20.1171875" style="79" customWidth="1"/>
    <col min="7690" max="7691" width="2.64453125" style="79" customWidth="1"/>
    <col min="7692" max="7910" width="8.87890625" style="79"/>
    <col min="7911" max="7911" width="14.3515625" style="79" customWidth="1"/>
    <col min="7912" max="7912" width="21.87890625" style="79" customWidth="1"/>
    <col min="7913" max="7913" width="16" style="79" customWidth="1"/>
    <col min="7914" max="7914" width="54" style="79" customWidth="1"/>
    <col min="7915" max="7915" width="22.1171875" style="79" customWidth="1"/>
    <col min="7916" max="7916" width="21.46875" style="79" customWidth="1"/>
    <col min="7917" max="7917" width="17.87890625" style="79" customWidth="1"/>
    <col min="7918" max="7918" width="17" style="79" customWidth="1"/>
    <col min="7919" max="7920" width="28.1171875" style="79" customWidth="1"/>
    <col min="7921" max="7921" width="26.46875" style="79" customWidth="1"/>
    <col min="7922" max="7938" width="11.64453125" style="79" customWidth="1"/>
    <col min="7939" max="7939" width="16.3515625" style="79" customWidth="1"/>
    <col min="7940" max="7940" width="13.87890625" style="79" customWidth="1"/>
    <col min="7941" max="7944" width="11.64453125" style="79" customWidth="1"/>
    <col min="7945" max="7945" width="20.1171875" style="79" customWidth="1"/>
    <col min="7946" max="7947" width="2.64453125" style="79" customWidth="1"/>
    <col min="7948" max="8166" width="8.87890625" style="79"/>
    <col min="8167" max="8167" width="14.3515625" style="79" customWidth="1"/>
    <col min="8168" max="8168" width="21.87890625" style="79" customWidth="1"/>
    <col min="8169" max="8169" width="16" style="79" customWidth="1"/>
    <col min="8170" max="8170" width="54" style="79" customWidth="1"/>
    <col min="8171" max="8171" width="22.1171875" style="79" customWidth="1"/>
    <col min="8172" max="8172" width="21.46875" style="79" customWidth="1"/>
    <col min="8173" max="8173" width="17.87890625" style="79" customWidth="1"/>
    <col min="8174" max="8174" width="17" style="79" customWidth="1"/>
    <col min="8175" max="8176" width="28.1171875" style="79" customWidth="1"/>
    <col min="8177" max="8177" width="26.46875" style="79" customWidth="1"/>
    <col min="8178" max="8194" width="11.64453125" style="79" customWidth="1"/>
    <col min="8195" max="8195" width="16.3515625" style="79" customWidth="1"/>
    <col min="8196" max="8196" width="13.87890625" style="79" customWidth="1"/>
    <col min="8197" max="8200" width="11.64453125" style="79" customWidth="1"/>
    <col min="8201" max="8201" width="20.1171875" style="79" customWidth="1"/>
    <col min="8202" max="8203" width="2.64453125" style="79" customWidth="1"/>
    <col min="8204" max="8422" width="8.87890625" style="79"/>
    <col min="8423" max="8423" width="14.3515625" style="79" customWidth="1"/>
    <col min="8424" max="8424" width="21.87890625" style="79" customWidth="1"/>
    <col min="8425" max="8425" width="16" style="79" customWidth="1"/>
    <col min="8426" max="8426" width="54" style="79" customWidth="1"/>
    <col min="8427" max="8427" width="22.1171875" style="79" customWidth="1"/>
    <col min="8428" max="8428" width="21.46875" style="79" customWidth="1"/>
    <col min="8429" max="8429" width="17.87890625" style="79" customWidth="1"/>
    <col min="8430" max="8430" width="17" style="79" customWidth="1"/>
    <col min="8431" max="8432" width="28.1171875" style="79" customWidth="1"/>
    <col min="8433" max="8433" width="26.46875" style="79" customWidth="1"/>
    <col min="8434" max="8450" width="11.64453125" style="79" customWidth="1"/>
    <col min="8451" max="8451" width="16.3515625" style="79" customWidth="1"/>
    <col min="8452" max="8452" width="13.87890625" style="79" customWidth="1"/>
    <col min="8453" max="8456" width="11.64453125" style="79" customWidth="1"/>
    <col min="8457" max="8457" width="20.1171875" style="79" customWidth="1"/>
    <col min="8458" max="8459" width="2.64453125" style="79" customWidth="1"/>
    <col min="8460" max="8678" width="8.87890625" style="79"/>
    <col min="8679" max="8679" width="14.3515625" style="79" customWidth="1"/>
    <col min="8680" max="8680" width="21.87890625" style="79" customWidth="1"/>
    <col min="8681" max="8681" width="16" style="79" customWidth="1"/>
    <col min="8682" max="8682" width="54" style="79" customWidth="1"/>
    <col min="8683" max="8683" width="22.1171875" style="79" customWidth="1"/>
    <col min="8684" max="8684" width="21.46875" style="79" customWidth="1"/>
    <col min="8685" max="8685" width="17.87890625" style="79" customWidth="1"/>
    <col min="8686" max="8686" width="17" style="79" customWidth="1"/>
    <col min="8687" max="8688" width="28.1171875" style="79" customWidth="1"/>
    <col min="8689" max="8689" width="26.46875" style="79" customWidth="1"/>
    <col min="8690" max="8706" width="11.64453125" style="79" customWidth="1"/>
    <col min="8707" max="8707" width="16.3515625" style="79" customWidth="1"/>
    <col min="8708" max="8708" width="13.87890625" style="79" customWidth="1"/>
    <col min="8709" max="8712" width="11.64453125" style="79" customWidth="1"/>
    <col min="8713" max="8713" width="20.1171875" style="79" customWidth="1"/>
    <col min="8714" max="8715" width="2.64453125" style="79" customWidth="1"/>
    <col min="8716" max="8934" width="8.87890625" style="79"/>
    <col min="8935" max="8935" width="14.3515625" style="79" customWidth="1"/>
    <col min="8936" max="8936" width="21.87890625" style="79" customWidth="1"/>
    <col min="8937" max="8937" width="16" style="79" customWidth="1"/>
    <col min="8938" max="8938" width="54" style="79" customWidth="1"/>
    <col min="8939" max="8939" width="22.1171875" style="79" customWidth="1"/>
    <col min="8940" max="8940" width="21.46875" style="79" customWidth="1"/>
    <col min="8941" max="8941" width="17.87890625" style="79" customWidth="1"/>
    <col min="8942" max="8942" width="17" style="79" customWidth="1"/>
    <col min="8943" max="8944" width="28.1171875" style="79" customWidth="1"/>
    <col min="8945" max="8945" width="26.46875" style="79" customWidth="1"/>
    <col min="8946" max="8962" width="11.64453125" style="79" customWidth="1"/>
    <col min="8963" max="8963" width="16.3515625" style="79" customWidth="1"/>
    <col min="8964" max="8964" width="13.87890625" style="79" customWidth="1"/>
    <col min="8965" max="8968" width="11.64453125" style="79" customWidth="1"/>
    <col min="8969" max="8969" width="20.1171875" style="79" customWidth="1"/>
    <col min="8970" max="8971" width="2.64453125" style="79" customWidth="1"/>
    <col min="8972" max="9190" width="8.87890625" style="79"/>
    <col min="9191" max="9191" width="14.3515625" style="79" customWidth="1"/>
    <col min="9192" max="9192" width="21.87890625" style="79" customWidth="1"/>
    <col min="9193" max="9193" width="16" style="79" customWidth="1"/>
    <col min="9194" max="9194" width="54" style="79" customWidth="1"/>
    <col min="9195" max="9195" width="22.1171875" style="79" customWidth="1"/>
    <col min="9196" max="9196" width="21.46875" style="79" customWidth="1"/>
    <col min="9197" max="9197" width="17.87890625" style="79" customWidth="1"/>
    <col min="9198" max="9198" width="17" style="79" customWidth="1"/>
    <col min="9199" max="9200" width="28.1171875" style="79" customWidth="1"/>
    <col min="9201" max="9201" width="26.46875" style="79" customWidth="1"/>
    <col min="9202" max="9218" width="11.64453125" style="79" customWidth="1"/>
    <col min="9219" max="9219" width="16.3515625" style="79" customWidth="1"/>
    <col min="9220" max="9220" width="13.87890625" style="79" customWidth="1"/>
    <col min="9221" max="9224" width="11.64453125" style="79" customWidth="1"/>
    <col min="9225" max="9225" width="20.1171875" style="79" customWidth="1"/>
    <col min="9226" max="9227" width="2.64453125" style="79" customWidth="1"/>
    <col min="9228" max="9446" width="8.87890625" style="79"/>
    <col min="9447" max="9447" width="14.3515625" style="79" customWidth="1"/>
    <col min="9448" max="9448" width="21.87890625" style="79" customWidth="1"/>
    <col min="9449" max="9449" width="16" style="79" customWidth="1"/>
    <col min="9450" max="9450" width="54" style="79" customWidth="1"/>
    <col min="9451" max="9451" width="22.1171875" style="79" customWidth="1"/>
    <col min="9452" max="9452" width="21.46875" style="79" customWidth="1"/>
    <col min="9453" max="9453" width="17.87890625" style="79" customWidth="1"/>
    <col min="9454" max="9454" width="17" style="79" customWidth="1"/>
    <col min="9455" max="9456" width="28.1171875" style="79" customWidth="1"/>
    <col min="9457" max="9457" width="26.46875" style="79" customWidth="1"/>
    <col min="9458" max="9474" width="11.64453125" style="79" customWidth="1"/>
    <col min="9475" max="9475" width="16.3515625" style="79" customWidth="1"/>
    <col min="9476" max="9476" width="13.87890625" style="79" customWidth="1"/>
    <col min="9477" max="9480" width="11.64453125" style="79" customWidth="1"/>
    <col min="9481" max="9481" width="20.1171875" style="79" customWidth="1"/>
    <col min="9482" max="9483" width="2.64453125" style="79" customWidth="1"/>
    <col min="9484" max="9702" width="8.87890625" style="79"/>
    <col min="9703" max="9703" width="14.3515625" style="79" customWidth="1"/>
    <col min="9704" max="9704" width="21.87890625" style="79" customWidth="1"/>
    <col min="9705" max="9705" width="16" style="79" customWidth="1"/>
    <col min="9706" max="9706" width="54" style="79" customWidth="1"/>
    <col min="9707" max="9707" width="22.1171875" style="79" customWidth="1"/>
    <col min="9708" max="9708" width="21.46875" style="79" customWidth="1"/>
    <col min="9709" max="9709" width="17.87890625" style="79" customWidth="1"/>
    <col min="9710" max="9710" width="17" style="79" customWidth="1"/>
    <col min="9711" max="9712" width="28.1171875" style="79" customWidth="1"/>
    <col min="9713" max="9713" width="26.46875" style="79" customWidth="1"/>
    <col min="9714" max="9730" width="11.64453125" style="79" customWidth="1"/>
    <col min="9731" max="9731" width="16.3515625" style="79" customWidth="1"/>
    <col min="9732" max="9732" width="13.87890625" style="79" customWidth="1"/>
    <col min="9733" max="9736" width="11.64453125" style="79" customWidth="1"/>
    <col min="9737" max="9737" width="20.1171875" style="79" customWidth="1"/>
    <col min="9738" max="9739" width="2.64453125" style="79" customWidth="1"/>
    <col min="9740" max="9958" width="8.87890625" style="79"/>
    <col min="9959" max="9959" width="14.3515625" style="79" customWidth="1"/>
    <col min="9960" max="9960" width="21.87890625" style="79" customWidth="1"/>
    <col min="9961" max="9961" width="16" style="79" customWidth="1"/>
    <col min="9962" max="9962" width="54" style="79" customWidth="1"/>
    <col min="9963" max="9963" width="22.1171875" style="79" customWidth="1"/>
    <col min="9964" max="9964" width="21.46875" style="79" customWidth="1"/>
    <col min="9965" max="9965" width="17.87890625" style="79" customWidth="1"/>
    <col min="9966" max="9966" width="17" style="79" customWidth="1"/>
    <col min="9967" max="9968" width="28.1171875" style="79" customWidth="1"/>
    <col min="9969" max="9969" width="26.46875" style="79" customWidth="1"/>
    <col min="9970" max="9986" width="11.64453125" style="79" customWidth="1"/>
    <col min="9987" max="9987" width="16.3515625" style="79" customWidth="1"/>
    <col min="9988" max="9988" width="13.87890625" style="79" customWidth="1"/>
    <col min="9989" max="9992" width="11.64453125" style="79" customWidth="1"/>
    <col min="9993" max="9993" width="20.1171875" style="79" customWidth="1"/>
    <col min="9994" max="9995" width="2.64453125" style="79" customWidth="1"/>
    <col min="9996" max="10214" width="8.87890625" style="79"/>
    <col min="10215" max="10215" width="14.3515625" style="79" customWidth="1"/>
    <col min="10216" max="10216" width="21.87890625" style="79" customWidth="1"/>
    <col min="10217" max="10217" width="16" style="79" customWidth="1"/>
    <col min="10218" max="10218" width="54" style="79" customWidth="1"/>
    <col min="10219" max="10219" width="22.1171875" style="79" customWidth="1"/>
    <col min="10220" max="10220" width="21.46875" style="79" customWidth="1"/>
    <col min="10221" max="10221" width="17.87890625" style="79" customWidth="1"/>
    <col min="10222" max="10222" width="17" style="79" customWidth="1"/>
    <col min="10223" max="10224" width="28.1171875" style="79" customWidth="1"/>
    <col min="10225" max="10225" width="26.46875" style="79" customWidth="1"/>
    <col min="10226" max="10242" width="11.64453125" style="79" customWidth="1"/>
    <col min="10243" max="10243" width="16.3515625" style="79" customWidth="1"/>
    <col min="10244" max="10244" width="13.87890625" style="79" customWidth="1"/>
    <col min="10245" max="10248" width="11.64453125" style="79" customWidth="1"/>
    <col min="10249" max="10249" width="20.1171875" style="79" customWidth="1"/>
    <col min="10250" max="10251" width="2.64453125" style="79" customWidth="1"/>
    <col min="10252" max="10470" width="8.87890625" style="79"/>
    <col min="10471" max="10471" width="14.3515625" style="79" customWidth="1"/>
    <col min="10472" max="10472" width="21.87890625" style="79" customWidth="1"/>
    <col min="10473" max="10473" width="16" style="79" customWidth="1"/>
    <col min="10474" max="10474" width="54" style="79" customWidth="1"/>
    <col min="10475" max="10475" width="22.1171875" style="79" customWidth="1"/>
    <col min="10476" max="10476" width="21.46875" style="79" customWidth="1"/>
    <col min="10477" max="10477" width="17.87890625" style="79" customWidth="1"/>
    <col min="10478" max="10478" width="17" style="79" customWidth="1"/>
    <col min="10479" max="10480" width="28.1171875" style="79" customWidth="1"/>
    <col min="10481" max="10481" width="26.46875" style="79" customWidth="1"/>
    <col min="10482" max="10498" width="11.64453125" style="79" customWidth="1"/>
    <col min="10499" max="10499" width="16.3515625" style="79" customWidth="1"/>
    <col min="10500" max="10500" width="13.87890625" style="79" customWidth="1"/>
    <col min="10501" max="10504" width="11.64453125" style="79" customWidth="1"/>
    <col min="10505" max="10505" width="20.1171875" style="79" customWidth="1"/>
    <col min="10506" max="10507" width="2.64453125" style="79" customWidth="1"/>
    <col min="10508" max="10726" width="8.87890625" style="79"/>
    <col min="10727" max="10727" width="14.3515625" style="79" customWidth="1"/>
    <col min="10728" max="10728" width="21.87890625" style="79" customWidth="1"/>
    <col min="10729" max="10729" width="16" style="79" customWidth="1"/>
    <col min="10730" max="10730" width="54" style="79" customWidth="1"/>
    <col min="10731" max="10731" width="22.1171875" style="79" customWidth="1"/>
    <col min="10732" max="10732" width="21.46875" style="79" customWidth="1"/>
    <col min="10733" max="10733" width="17.87890625" style="79" customWidth="1"/>
    <col min="10734" max="10734" width="17" style="79" customWidth="1"/>
    <col min="10735" max="10736" width="28.1171875" style="79" customWidth="1"/>
    <col min="10737" max="10737" width="26.46875" style="79" customWidth="1"/>
    <col min="10738" max="10754" width="11.64453125" style="79" customWidth="1"/>
    <col min="10755" max="10755" width="16.3515625" style="79" customWidth="1"/>
    <col min="10756" max="10756" width="13.87890625" style="79" customWidth="1"/>
    <col min="10757" max="10760" width="11.64453125" style="79" customWidth="1"/>
    <col min="10761" max="10761" width="20.1171875" style="79" customWidth="1"/>
    <col min="10762" max="10763" width="2.64453125" style="79" customWidth="1"/>
    <col min="10764" max="10982" width="8.87890625" style="79"/>
    <col min="10983" max="10983" width="14.3515625" style="79" customWidth="1"/>
    <col min="10984" max="10984" width="21.87890625" style="79" customWidth="1"/>
    <col min="10985" max="10985" width="16" style="79" customWidth="1"/>
    <col min="10986" max="10986" width="54" style="79" customWidth="1"/>
    <col min="10987" max="10987" width="22.1171875" style="79" customWidth="1"/>
    <col min="10988" max="10988" width="21.46875" style="79" customWidth="1"/>
    <col min="10989" max="10989" width="17.87890625" style="79" customWidth="1"/>
    <col min="10990" max="10990" width="17" style="79" customWidth="1"/>
    <col min="10991" max="10992" width="28.1171875" style="79" customWidth="1"/>
    <col min="10993" max="10993" width="26.46875" style="79" customWidth="1"/>
    <col min="10994" max="11010" width="11.64453125" style="79" customWidth="1"/>
    <col min="11011" max="11011" width="16.3515625" style="79" customWidth="1"/>
    <col min="11012" max="11012" width="13.87890625" style="79" customWidth="1"/>
    <col min="11013" max="11016" width="11.64453125" style="79" customWidth="1"/>
    <col min="11017" max="11017" width="20.1171875" style="79" customWidth="1"/>
    <col min="11018" max="11019" width="2.64453125" style="79" customWidth="1"/>
    <col min="11020" max="11238" width="8.87890625" style="79"/>
    <col min="11239" max="11239" width="14.3515625" style="79" customWidth="1"/>
    <col min="11240" max="11240" width="21.87890625" style="79" customWidth="1"/>
    <col min="11241" max="11241" width="16" style="79" customWidth="1"/>
    <col min="11242" max="11242" width="54" style="79" customWidth="1"/>
    <col min="11243" max="11243" width="22.1171875" style="79" customWidth="1"/>
    <col min="11244" max="11244" width="21.46875" style="79" customWidth="1"/>
    <col min="11245" max="11245" width="17.87890625" style="79" customWidth="1"/>
    <col min="11246" max="11246" width="17" style="79" customWidth="1"/>
    <col min="11247" max="11248" width="28.1171875" style="79" customWidth="1"/>
    <col min="11249" max="11249" width="26.46875" style="79" customWidth="1"/>
    <col min="11250" max="11266" width="11.64453125" style="79" customWidth="1"/>
    <col min="11267" max="11267" width="16.3515625" style="79" customWidth="1"/>
    <col min="11268" max="11268" width="13.87890625" style="79" customWidth="1"/>
    <col min="11269" max="11272" width="11.64453125" style="79" customWidth="1"/>
    <col min="11273" max="11273" width="20.1171875" style="79" customWidth="1"/>
    <col min="11274" max="11275" width="2.64453125" style="79" customWidth="1"/>
    <col min="11276" max="11494" width="8.87890625" style="79"/>
    <col min="11495" max="11495" width="14.3515625" style="79" customWidth="1"/>
    <col min="11496" max="11496" width="21.87890625" style="79" customWidth="1"/>
    <col min="11497" max="11497" width="16" style="79" customWidth="1"/>
    <col min="11498" max="11498" width="54" style="79" customWidth="1"/>
    <col min="11499" max="11499" width="22.1171875" style="79" customWidth="1"/>
    <col min="11500" max="11500" width="21.46875" style="79" customWidth="1"/>
    <col min="11501" max="11501" width="17.87890625" style="79" customWidth="1"/>
    <col min="11502" max="11502" width="17" style="79" customWidth="1"/>
    <col min="11503" max="11504" width="28.1171875" style="79" customWidth="1"/>
    <col min="11505" max="11505" width="26.46875" style="79" customWidth="1"/>
    <col min="11506" max="11522" width="11.64453125" style="79" customWidth="1"/>
    <col min="11523" max="11523" width="16.3515625" style="79" customWidth="1"/>
    <col min="11524" max="11524" width="13.87890625" style="79" customWidth="1"/>
    <col min="11525" max="11528" width="11.64453125" style="79" customWidth="1"/>
    <col min="11529" max="11529" width="20.1171875" style="79" customWidth="1"/>
    <col min="11530" max="11531" width="2.64453125" style="79" customWidth="1"/>
    <col min="11532" max="11750" width="8.87890625" style="79"/>
    <col min="11751" max="11751" width="14.3515625" style="79" customWidth="1"/>
    <col min="11752" max="11752" width="21.87890625" style="79" customWidth="1"/>
    <col min="11753" max="11753" width="16" style="79" customWidth="1"/>
    <col min="11754" max="11754" width="54" style="79" customWidth="1"/>
    <col min="11755" max="11755" width="22.1171875" style="79" customWidth="1"/>
    <col min="11756" max="11756" width="21.46875" style="79" customWidth="1"/>
    <col min="11757" max="11757" width="17.87890625" style="79" customWidth="1"/>
    <col min="11758" max="11758" width="17" style="79" customWidth="1"/>
    <col min="11759" max="11760" width="28.1171875" style="79" customWidth="1"/>
    <col min="11761" max="11761" width="26.46875" style="79" customWidth="1"/>
    <col min="11762" max="11778" width="11.64453125" style="79" customWidth="1"/>
    <col min="11779" max="11779" width="16.3515625" style="79" customWidth="1"/>
    <col min="11780" max="11780" width="13.87890625" style="79" customWidth="1"/>
    <col min="11781" max="11784" width="11.64453125" style="79" customWidth="1"/>
    <col min="11785" max="11785" width="20.1171875" style="79" customWidth="1"/>
    <col min="11786" max="11787" width="2.64453125" style="79" customWidth="1"/>
    <col min="11788" max="12006" width="8.87890625" style="79"/>
    <col min="12007" max="12007" width="14.3515625" style="79" customWidth="1"/>
    <col min="12008" max="12008" width="21.87890625" style="79" customWidth="1"/>
    <col min="12009" max="12009" width="16" style="79" customWidth="1"/>
    <col min="12010" max="12010" width="54" style="79" customWidth="1"/>
    <col min="12011" max="12011" width="22.1171875" style="79" customWidth="1"/>
    <col min="12012" max="12012" width="21.46875" style="79" customWidth="1"/>
    <col min="12013" max="12013" width="17.87890625" style="79" customWidth="1"/>
    <col min="12014" max="12014" width="17" style="79" customWidth="1"/>
    <col min="12015" max="12016" width="28.1171875" style="79" customWidth="1"/>
    <col min="12017" max="12017" width="26.46875" style="79" customWidth="1"/>
    <col min="12018" max="12034" width="11.64453125" style="79" customWidth="1"/>
    <col min="12035" max="12035" width="16.3515625" style="79" customWidth="1"/>
    <col min="12036" max="12036" width="13.87890625" style="79" customWidth="1"/>
    <col min="12037" max="12040" width="11.64453125" style="79" customWidth="1"/>
    <col min="12041" max="12041" width="20.1171875" style="79" customWidth="1"/>
    <col min="12042" max="12043" width="2.64453125" style="79" customWidth="1"/>
    <col min="12044" max="12262" width="8.87890625" style="79"/>
    <col min="12263" max="12263" width="14.3515625" style="79" customWidth="1"/>
    <col min="12264" max="12264" width="21.87890625" style="79" customWidth="1"/>
    <col min="12265" max="12265" width="16" style="79" customWidth="1"/>
    <col min="12266" max="12266" width="54" style="79" customWidth="1"/>
    <col min="12267" max="12267" width="22.1171875" style="79" customWidth="1"/>
    <col min="12268" max="12268" width="21.46875" style="79" customWidth="1"/>
    <col min="12269" max="12269" width="17.87890625" style="79" customWidth="1"/>
    <col min="12270" max="12270" width="17" style="79" customWidth="1"/>
    <col min="12271" max="12272" width="28.1171875" style="79" customWidth="1"/>
    <col min="12273" max="12273" width="26.46875" style="79" customWidth="1"/>
    <col min="12274" max="12290" width="11.64453125" style="79" customWidth="1"/>
    <col min="12291" max="12291" width="16.3515625" style="79" customWidth="1"/>
    <col min="12292" max="12292" width="13.87890625" style="79" customWidth="1"/>
    <col min="12293" max="12296" width="11.64453125" style="79" customWidth="1"/>
    <col min="12297" max="12297" width="20.1171875" style="79" customWidth="1"/>
    <col min="12298" max="12299" width="2.64453125" style="79" customWidth="1"/>
    <col min="12300" max="12518" width="8.87890625" style="79"/>
    <col min="12519" max="12519" width="14.3515625" style="79" customWidth="1"/>
    <col min="12520" max="12520" width="21.87890625" style="79" customWidth="1"/>
    <col min="12521" max="12521" width="16" style="79" customWidth="1"/>
    <col min="12522" max="12522" width="54" style="79" customWidth="1"/>
    <col min="12523" max="12523" width="22.1171875" style="79" customWidth="1"/>
    <col min="12524" max="12524" width="21.46875" style="79" customWidth="1"/>
    <col min="12525" max="12525" width="17.87890625" style="79" customWidth="1"/>
    <col min="12526" max="12526" width="17" style="79" customWidth="1"/>
    <col min="12527" max="12528" width="28.1171875" style="79" customWidth="1"/>
    <col min="12529" max="12529" width="26.46875" style="79" customWidth="1"/>
    <col min="12530" max="12546" width="11.64453125" style="79" customWidth="1"/>
    <col min="12547" max="12547" width="16.3515625" style="79" customWidth="1"/>
    <col min="12548" max="12548" width="13.87890625" style="79" customWidth="1"/>
    <col min="12549" max="12552" width="11.64453125" style="79" customWidth="1"/>
    <col min="12553" max="12553" width="20.1171875" style="79" customWidth="1"/>
    <col min="12554" max="12555" width="2.64453125" style="79" customWidth="1"/>
    <col min="12556" max="12774" width="8.87890625" style="79"/>
    <col min="12775" max="12775" width="14.3515625" style="79" customWidth="1"/>
    <col min="12776" max="12776" width="21.87890625" style="79" customWidth="1"/>
    <col min="12777" max="12777" width="16" style="79" customWidth="1"/>
    <col min="12778" max="12778" width="54" style="79" customWidth="1"/>
    <col min="12779" max="12779" width="22.1171875" style="79" customWidth="1"/>
    <col min="12780" max="12780" width="21.46875" style="79" customWidth="1"/>
    <col min="12781" max="12781" width="17.87890625" style="79" customWidth="1"/>
    <col min="12782" max="12782" width="17" style="79" customWidth="1"/>
    <col min="12783" max="12784" width="28.1171875" style="79" customWidth="1"/>
    <col min="12785" max="12785" width="26.46875" style="79" customWidth="1"/>
    <col min="12786" max="12802" width="11.64453125" style="79" customWidth="1"/>
    <col min="12803" max="12803" width="16.3515625" style="79" customWidth="1"/>
    <col min="12804" max="12804" width="13.87890625" style="79" customWidth="1"/>
    <col min="12805" max="12808" width="11.64453125" style="79" customWidth="1"/>
    <col min="12809" max="12809" width="20.1171875" style="79" customWidth="1"/>
    <col min="12810" max="12811" width="2.64453125" style="79" customWidth="1"/>
    <col min="12812" max="13030" width="8.87890625" style="79"/>
    <col min="13031" max="13031" width="14.3515625" style="79" customWidth="1"/>
    <col min="13032" max="13032" width="21.87890625" style="79" customWidth="1"/>
    <col min="13033" max="13033" width="16" style="79" customWidth="1"/>
    <col min="13034" max="13034" width="54" style="79" customWidth="1"/>
    <col min="13035" max="13035" width="22.1171875" style="79" customWidth="1"/>
    <col min="13036" max="13036" width="21.46875" style="79" customWidth="1"/>
    <col min="13037" max="13037" width="17.87890625" style="79" customWidth="1"/>
    <col min="13038" max="13038" width="17" style="79" customWidth="1"/>
    <col min="13039" max="13040" width="28.1171875" style="79" customWidth="1"/>
    <col min="13041" max="13041" width="26.46875" style="79" customWidth="1"/>
    <col min="13042" max="13058" width="11.64453125" style="79" customWidth="1"/>
    <col min="13059" max="13059" width="16.3515625" style="79" customWidth="1"/>
    <col min="13060" max="13060" width="13.87890625" style="79" customWidth="1"/>
    <col min="13061" max="13064" width="11.64453125" style="79" customWidth="1"/>
    <col min="13065" max="13065" width="20.1171875" style="79" customWidth="1"/>
    <col min="13066" max="13067" width="2.64453125" style="79" customWidth="1"/>
    <col min="13068" max="13286" width="8.87890625" style="79"/>
    <col min="13287" max="13287" width="14.3515625" style="79" customWidth="1"/>
    <col min="13288" max="13288" width="21.87890625" style="79" customWidth="1"/>
    <col min="13289" max="13289" width="16" style="79" customWidth="1"/>
    <col min="13290" max="13290" width="54" style="79" customWidth="1"/>
    <col min="13291" max="13291" width="22.1171875" style="79" customWidth="1"/>
    <col min="13292" max="13292" width="21.46875" style="79" customWidth="1"/>
    <col min="13293" max="13293" width="17.87890625" style="79" customWidth="1"/>
    <col min="13294" max="13294" width="17" style="79" customWidth="1"/>
    <col min="13295" max="13296" width="28.1171875" style="79" customWidth="1"/>
    <col min="13297" max="13297" width="26.46875" style="79" customWidth="1"/>
    <col min="13298" max="13314" width="11.64453125" style="79" customWidth="1"/>
    <col min="13315" max="13315" width="16.3515625" style="79" customWidth="1"/>
    <col min="13316" max="13316" width="13.87890625" style="79" customWidth="1"/>
    <col min="13317" max="13320" width="11.64453125" style="79" customWidth="1"/>
    <col min="13321" max="13321" width="20.1171875" style="79" customWidth="1"/>
    <col min="13322" max="13323" width="2.64453125" style="79" customWidth="1"/>
    <col min="13324" max="13542" width="8.87890625" style="79"/>
    <col min="13543" max="13543" width="14.3515625" style="79" customWidth="1"/>
    <col min="13544" max="13544" width="21.87890625" style="79" customWidth="1"/>
    <col min="13545" max="13545" width="16" style="79" customWidth="1"/>
    <col min="13546" max="13546" width="54" style="79" customWidth="1"/>
    <col min="13547" max="13547" width="22.1171875" style="79" customWidth="1"/>
    <col min="13548" max="13548" width="21.46875" style="79" customWidth="1"/>
    <col min="13549" max="13549" width="17.87890625" style="79" customWidth="1"/>
    <col min="13550" max="13550" width="17" style="79" customWidth="1"/>
    <col min="13551" max="13552" width="28.1171875" style="79" customWidth="1"/>
    <col min="13553" max="13553" width="26.46875" style="79" customWidth="1"/>
    <col min="13554" max="13570" width="11.64453125" style="79" customWidth="1"/>
    <col min="13571" max="13571" width="16.3515625" style="79" customWidth="1"/>
    <col min="13572" max="13572" width="13.87890625" style="79" customWidth="1"/>
    <col min="13573" max="13576" width="11.64453125" style="79" customWidth="1"/>
    <col min="13577" max="13577" width="20.1171875" style="79" customWidth="1"/>
    <col min="13578" max="13579" width="2.64453125" style="79" customWidth="1"/>
    <col min="13580" max="13798" width="8.87890625" style="79"/>
    <col min="13799" max="13799" width="14.3515625" style="79" customWidth="1"/>
    <col min="13800" max="13800" width="21.87890625" style="79" customWidth="1"/>
    <col min="13801" max="13801" width="16" style="79" customWidth="1"/>
    <col min="13802" max="13802" width="54" style="79" customWidth="1"/>
    <col min="13803" max="13803" width="22.1171875" style="79" customWidth="1"/>
    <col min="13804" max="13804" width="21.46875" style="79" customWidth="1"/>
    <col min="13805" max="13805" width="17.87890625" style="79" customWidth="1"/>
    <col min="13806" max="13806" width="17" style="79" customWidth="1"/>
    <col min="13807" max="13808" width="28.1171875" style="79" customWidth="1"/>
    <col min="13809" max="13809" width="26.46875" style="79" customWidth="1"/>
    <col min="13810" max="13826" width="11.64453125" style="79" customWidth="1"/>
    <col min="13827" max="13827" width="16.3515625" style="79" customWidth="1"/>
    <col min="13828" max="13828" width="13.87890625" style="79" customWidth="1"/>
    <col min="13829" max="13832" width="11.64453125" style="79" customWidth="1"/>
    <col min="13833" max="13833" width="20.1171875" style="79" customWidth="1"/>
    <col min="13834" max="13835" width="2.64453125" style="79" customWidth="1"/>
    <col min="13836" max="14054" width="8.87890625" style="79"/>
    <col min="14055" max="14055" width="14.3515625" style="79" customWidth="1"/>
    <col min="14056" max="14056" width="21.87890625" style="79" customWidth="1"/>
    <col min="14057" max="14057" width="16" style="79" customWidth="1"/>
    <col min="14058" max="14058" width="54" style="79" customWidth="1"/>
    <col min="14059" max="14059" width="22.1171875" style="79" customWidth="1"/>
    <col min="14060" max="14060" width="21.46875" style="79" customWidth="1"/>
    <col min="14061" max="14061" width="17.87890625" style="79" customWidth="1"/>
    <col min="14062" max="14062" width="17" style="79" customWidth="1"/>
    <col min="14063" max="14064" width="28.1171875" style="79" customWidth="1"/>
    <col min="14065" max="14065" width="26.46875" style="79" customWidth="1"/>
    <col min="14066" max="14082" width="11.64453125" style="79" customWidth="1"/>
    <col min="14083" max="14083" width="16.3515625" style="79" customWidth="1"/>
    <col min="14084" max="14084" width="13.87890625" style="79" customWidth="1"/>
    <col min="14085" max="14088" width="11.64453125" style="79" customWidth="1"/>
    <col min="14089" max="14089" width="20.1171875" style="79" customWidth="1"/>
    <col min="14090" max="14091" width="2.64453125" style="79" customWidth="1"/>
    <col min="14092" max="14310" width="8.87890625" style="79"/>
    <col min="14311" max="14311" width="14.3515625" style="79" customWidth="1"/>
    <col min="14312" max="14312" width="21.87890625" style="79" customWidth="1"/>
    <col min="14313" max="14313" width="16" style="79" customWidth="1"/>
    <col min="14314" max="14314" width="54" style="79" customWidth="1"/>
    <col min="14315" max="14315" width="22.1171875" style="79" customWidth="1"/>
    <col min="14316" max="14316" width="21.46875" style="79" customWidth="1"/>
    <col min="14317" max="14317" width="17.87890625" style="79" customWidth="1"/>
    <col min="14318" max="14318" width="17" style="79" customWidth="1"/>
    <col min="14319" max="14320" width="28.1171875" style="79" customWidth="1"/>
    <col min="14321" max="14321" width="26.46875" style="79" customWidth="1"/>
    <col min="14322" max="14338" width="11.64453125" style="79" customWidth="1"/>
    <col min="14339" max="14339" width="16.3515625" style="79" customWidth="1"/>
    <col min="14340" max="14340" width="13.87890625" style="79" customWidth="1"/>
    <col min="14341" max="14344" width="11.64453125" style="79" customWidth="1"/>
    <col min="14345" max="14345" width="20.1171875" style="79" customWidth="1"/>
    <col min="14346" max="14347" width="2.64453125" style="79" customWidth="1"/>
    <col min="14348" max="14566" width="8.87890625" style="79"/>
    <col min="14567" max="14567" width="14.3515625" style="79" customWidth="1"/>
    <col min="14568" max="14568" width="21.87890625" style="79" customWidth="1"/>
    <col min="14569" max="14569" width="16" style="79" customWidth="1"/>
    <col min="14570" max="14570" width="54" style="79" customWidth="1"/>
    <col min="14571" max="14571" width="22.1171875" style="79" customWidth="1"/>
    <col min="14572" max="14572" width="21.46875" style="79" customWidth="1"/>
    <col min="14573" max="14573" width="17.87890625" style="79" customWidth="1"/>
    <col min="14574" max="14574" width="17" style="79" customWidth="1"/>
    <col min="14575" max="14576" width="28.1171875" style="79" customWidth="1"/>
    <col min="14577" max="14577" width="26.46875" style="79" customWidth="1"/>
    <col min="14578" max="14594" width="11.64453125" style="79" customWidth="1"/>
    <col min="14595" max="14595" width="16.3515625" style="79" customWidth="1"/>
    <col min="14596" max="14596" width="13.87890625" style="79" customWidth="1"/>
    <col min="14597" max="14600" width="11.64453125" style="79" customWidth="1"/>
    <col min="14601" max="14601" width="20.1171875" style="79" customWidth="1"/>
    <col min="14602" max="14603" width="2.64453125" style="79" customWidth="1"/>
    <col min="14604" max="14822" width="8.87890625" style="79"/>
    <col min="14823" max="14823" width="14.3515625" style="79" customWidth="1"/>
    <col min="14824" max="14824" width="21.87890625" style="79" customWidth="1"/>
    <col min="14825" max="14825" width="16" style="79" customWidth="1"/>
    <col min="14826" max="14826" width="54" style="79" customWidth="1"/>
    <col min="14827" max="14827" width="22.1171875" style="79" customWidth="1"/>
    <col min="14828" max="14828" width="21.46875" style="79" customWidth="1"/>
    <col min="14829" max="14829" width="17.87890625" style="79" customWidth="1"/>
    <col min="14830" max="14830" width="17" style="79" customWidth="1"/>
    <col min="14831" max="14832" width="28.1171875" style="79" customWidth="1"/>
    <col min="14833" max="14833" width="26.46875" style="79" customWidth="1"/>
    <col min="14834" max="14850" width="11.64453125" style="79" customWidth="1"/>
    <col min="14851" max="14851" width="16.3515625" style="79" customWidth="1"/>
    <col min="14852" max="14852" width="13.87890625" style="79" customWidth="1"/>
    <col min="14853" max="14856" width="11.64453125" style="79" customWidth="1"/>
    <col min="14857" max="14857" width="20.1171875" style="79" customWidth="1"/>
    <col min="14858" max="14859" width="2.64453125" style="79" customWidth="1"/>
    <col min="14860" max="15078" width="8.87890625" style="79"/>
    <col min="15079" max="15079" width="14.3515625" style="79" customWidth="1"/>
    <col min="15080" max="15080" width="21.87890625" style="79" customWidth="1"/>
    <col min="15081" max="15081" width="16" style="79" customWidth="1"/>
    <col min="15082" max="15082" width="54" style="79" customWidth="1"/>
    <col min="15083" max="15083" width="22.1171875" style="79" customWidth="1"/>
    <col min="15084" max="15084" width="21.46875" style="79" customWidth="1"/>
    <col min="15085" max="15085" width="17.87890625" style="79" customWidth="1"/>
    <col min="15086" max="15086" width="17" style="79" customWidth="1"/>
    <col min="15087" max="15088" width="28.1171875" style="79" customWidth="1"/>
    <col min="15089" max="15089" width="26.46875" style="79" customWidth="1"/>
    <col min="15090" max="15106" width="11.64453125" style="79" customWidth="1"/>
    <col min="15107" max="15107" width="16.3515625" style="79" customWidth="1"/>
    <col min="15108" max="15108" width="13.87890625" style="79" customWidth="1"/>
    <col min="15109" max="15112" width="11.64453125" style="79" customWidth="1"/>
    <col min="15113" max="15113" width="20.1171875" style="79" customWidth="1"/>
    <col min="15114" max="15115" width="2.64453125" style="79" customWidth="1"/>
    <col min="15116" max="15334" width="8.87890625" style="79"/>
    <col min="15335" max="15335" width="14.3515625" style="79" customWidth="1"/>
    <col min="15336" max="15336" width="21.87890625" style="79" customWidth="1"/>
    <col min="15337" max="15337" width="16" style="79" customWidth="1"/>
    <col min="15338" max="15338" width="54" style="79" customWidth="1"/>
    <col min="15339" max="15339" width="22.1171875" style="79" customWidth="1"/>
    <col min="15340" max="15340" width="21.46875" style="79" customWidth="1"/>
    <col min="15341" max="15341" width="17.87890625" style="79" customWidth="1"/>
    <col min="15342" max="15342" width="17" style="79" customWidth="1"/>
    <col min="15343" max="15344" width="28.1171875" style="79" customWidth="1"/>
    <col min="15345" max="15345" width="26.46875" style="79" customWidth="1"/>
    <col min="15346" max="15362" width="11.64453125" style="79" customWidth="1"/>
    <col min="15363" max="15363" width="16.3515625" style="79" customWidth="1"/>
    <col min="15364" max="15364" width="13.87890625" style="79" customWidth="1"/>
    <col min="15365" max="15368" width="11.64453125" style="79" customWidth="1"/>
    <col min="15369" max="15369" width="20.1171875" style="79" customWidth="1"/>
    <col min="15370" max="15371" width="2.64453125" style="79" customWidth="1"/>
    <col min="15372" max="15590" width="8.87890625" style="79"/>
    <col min="15591" max="15591" width="14.3515625" style="79" customWidth="1"/>
    <col min="15592" max="15592" width="21.87890625" style="79" customWidth="1"/>
    <col min="15593" max="15593" width="16" style="79" customWidth="1"/>
    <col min="15594" max="15594" width="54" style="79" customWidth="1"/>
    <col min="15595" max="15595" width="22.1171875" style="79" customWidth="1"/>
    <col min="15596" max="15596" width="21.46875" style="79" customWidth="1"/>
    <col min="15597" max="15597" width="17.87890625" style="79" customWidth="1"/>
    <col min="15598" max="15598" width="17" style="79" customWidth="1"/>
    <col min="15599" max="15600" width="28.1171875" style="79" customWidth="1"/>
    <col min="15601" max="15601" width="26.46875" style="79" customWidth="1"/>
    <col min="15602" max="15618" width="11.64453125" style="79" customWidth="1"/>
    <col min="15619" max="15619" width="16.3515625" style="79" customWidth="1"/>
    <col min="15620" max="15620" width="13.87890625" style="79" customWidth="1"/>
    <col min="15621" max="15624" width="11.64453125" style="79" customWidth="1"/>
    <col min="15625" max="15625" width="20.1171875" style="79" customWidth="1"/>
    <col min="15626" max="15627" width="2.64453125" style="79" customWidth="1"/>
    <col min="15628" max="15846" width="8.87890625" style="79"/>
    <col min="15847" max="15847" width="14.3515625" style="79" customWidth="1"/>
    <col min="15848" max="15848" width="21.87890625" style="79" customWidth="1"/>
    <col min="15849" max="15849" width="16" style="79" customWidth="1"/>
    <col min="15850" max="15850" width="54" style="79" customWidth="1"/>
    <col min="15851" max="15851" width="22.1171875" style="79" customWidth="1"/>
    <col min="15852" max="15852" width="21.46875" style="79" customWidth="1"/>
    <col min="15853" max="15853" width="17.87890625" style="79" customWidth="1"/>
    <col min="15854" max="15854" width="17" style="79" customWidth="1"/>
    <col min="15855" max="15856" width="28.1171875" style="79" customWidth="1"/>
    <col min="15857" max="15857" width="26.46875" style="79" customWidth="1"/>
    <col min="15858" max="15874" width="11.64453125" style="79" customWidth="1"/>
    <col min="15875" max="15875" width="16.3515625" style="79" customWidth="1"/>
    <col min="15876" max="15876" width="13.87890625" style="79" customWidth="1"/>
    <col min="15877" max="15880" width="11.64453125" style="79" customWidth="1"/>
    <col min="15881" max="15881" width="20.1171875" style="79" customWidth="1"/>
    <col min="15882" max="15883" width="2.64453125" style="79" customWidth="1"/>
    <col min="15884" max="16102" width="8.87890625" style="79"/>
    <col min="16103" max="16103" width="14.3515625" style="79" customWidth="1"/>
    <col min="16104" max="16104" width="21.87890625" style="79" customWidth="1"/>
    <col min="16105" max="16105" width="16" style="79" customWidth="1"/>
    <col min="16106" max="16106" width="54" style="79" customWidth="1"/>
    <col min="16107" max="16107" width="22.1171875" style="79" customWidth="1"/>
    <col min="16108" max="16108" width="21.46875" style="79" customWidth="1"/>
    <col min="16109" max="16109" width="17.87890625" style="79" customWidth="1"/>
    <col min="16110" max="16110" width="17" style="79" customWidth="1"/>
    <col min="16111" max="16112" width="28.1171875" style="79" customWidth="1"/>
    <col min="16113" max="16113" width="26.46875" style="79" customWidth="1"/>
    <col min="16114" max="16130" width="11.64453125" style="79" customWidth="1"/>
    <col min="16131" max="16131" width="16.3515625" style="79" customWidth="1"/>
    <col min="16132" max="16132" width="13.87890625" style="79" customWidth="1"/>
    <col min="16133" max="16136" width="11.64453125" style="79" customWidth="1"/>
    <col min="16137" max="16137" width="20.1171875" style="79" customWidth="1"/>
    <col min="16138" max="16139" width="2.64453125" style="79" customWidth="1"/>
    <col min="16140" max="16384" width="8.87890625" style="79"/>
  </cols>
  <sheetData>
    <row r="1" spans="1:33" s="7" customFormat="1" ht="39.950000000000003" customHeight="1" x14ac:dyDescent="0.9">
      <c r="A1" s="1" t="s">
        <v>0</v>
      </c>
      <c r="B1" s="2"/>
      <c r="C1" s="3" t="s">
        <v>1</v>
      </c>
      <c r="D1" s="4"/>
      <c r="E1" s="4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33" s="7" customFormat="1" ht="39.950000000000003" customHeight="1" x14ac:dyDescent="0.9">
      <c r="A2" s="1" t="s">
        <v>2</v>
      </c>
      <c r="B2" s="8"/>
      <c r="C2" s="9" t="s">
        <v>3</v>
      </c>
      <c r="D2" s="4"/>
      <c r="E2" s="4"/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33" s="7" customFormat="1" ht="39.950000000000003" customHeight="1" x14ac:dyDescent="0.9">
      <c r="A3" s="1" t="s">
        <v>4</v>
      </c>
      <c r="B3" s="8"/>
      <c r="C3" s="9"/>
      <c r="D3" s="4"/>
      <c r="E3" s="4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33" s="7" customFormat="1" ht="39.950000000000003" customHeight="1" x14ac:dyDescent="0.9">
      <c r="A4" s="1" t="s">
        <v>5</v>
      </c>
      <c r="B4" s="8"/>
      <c r="C4" s="3" t="s">
        <v>6</v>
      </c>
      <c r="D4" s="4"/>
      <c r="E4" s="4"/>
      <c r="F4" s="5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33" s="7" customFormat="1" ht="39.950000000000003" customHeight="1" x14ac:dyDescent="0.9">
      <c r="A5" s="1" t="s">
        <v>7</v>
      </c>
      <c r="B5" s="8"/>
      <c r="C5" s="9"/>
      <c r="D5" s="4"/>
      <c r="E5" s="4"/>
      <c r="F5" s="5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33" s="7" customFormat="1" ht="39.950000000000003" customHeight="1" x14ac:dyDescent="0.9">
      <c r="A6" s="1" t="s">
        <v>8</v>
      </c>
      <c r="B6" s="8"/>
      <c r="C6" s="9" t="s">
        <v>9</v>
      </c>
      <c r="D6" s="4"/>
      <c r="E6" s="4"/>
      <c r="F6" s="5"/>
      <c r="G6" s="5"/>
      <c r="H6" s="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33" s="7" customFormat="1" ht="39.950000000000003" customHeight="1" thickBot="1" x14ac:dyDescent="0.95">
      <c r="A7" s="4"/>
      <c r="B7" s="4"/>
      <c r="C7" s="4"/>
      <c r="D7" s="11"/>
      <c r="E7" s="11"/>
      <c r="F7" s="11"/>
      <c r="G7" s="11"/>
      <c r="H7" s="12"/>
      <c r="I7" s="13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33" s="24" customFormat="1" ht="41.7" customHeight="1" thickTop="1" x14ac:dyDescent="0.55000000000000004">
      <c r="A8" s="15" t="s">
        <v>10</v>
      </c>
      <c r="B8" s="16" t="s">
        <v>11</v>
      </c>
      <c r="C8" s="17" t="s">
        <v>12</v>
      </c>
      <c r="D8" s="18" t="s">
        <v>13</v>
      </c>
      <c r="E8" s="17" t="s">
        <v>14</v>
      </c>
      <c r="F8" s="17" t="s">
        <v>15</v>
      </c>
      <c r="G8" s="19" t="s">
        <v>16</v>
      </c>
      <c r="H8" s="20" t="s">
        <v>17</v>
      </c>
      <c r="I8" s="21" t="s">
        <v>18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3"/>
    </row>
    <row r="9" spans="1:33" s="24" customFormat="1" ht="41.7" customHeight="1" x14ac:dyDescent="0.55000000000000004">
      <c r="A9" s="25"/>
      <c r="B9" s="26"/>
      <c r="C9" s="27"/>
      <c r="D9" s="28"/>
      <c r="E9" s="27"/>
      <c r="F9" s="27"/>
      <c r="G9" s="29"/>
      <c r="H9" s="30"/>
      <c r="I9" s="31">
        <v>8</v>
      </c>
      <c r="J9" s="32">
        <f>I9+1</f>
        <v>9</v>
      </c>
      <c r="K9" s="32">
        <f t="shared" ref="K9:AC9" si="0">J9+1</f>
        <v>10</v>
      </c>
      <c r="L9" s="32">
        <f t="shared" si="0"/>
        <v>11</v>
      </c>
      <c r="M9" s="32">
        <f t="shared" si="0"/>
        <v>12</v>
      </c>
      <c r="N9" s="32">
        <f t="shared" si="0"/>
        <v>13</v>
      </c>
      <c r="O9" s="32">
        <f t="shared" si="0"/>
        <v>14</v>
      </c>
      <c r="P9" s="32">
        <f t="shared" si="0"/>
        <v>15</v>
      </c>
      <c r="Q9" s="32">
        <f>P9+1</f>
        <v>16</v>
      </c>
      <c r="R9" s="32">
        <f>Q9+1</f>
        <v>17</v>
      </c>
      <c r="S9" s="32">
        <f>R9+1</f>
        <v>18</v>
      </c>
      <c r="T9" s="32">
        <f>S9+1</f>
        <v>19</v>
      </c>
      <c r="U9" s="32">
        <f t="shared" si="0"/>
        <v>20</v>
      </c>
      <c r="V9" s="32">
        <f t="shared" si="0"/>
        <v>21</v>
      </c>
      <c r="W9" s="32">
        <f t="shared" si="0"/>
        <v>22</v>
      </c>
      <c r="X9" s="32">
        <f t="shared" si="0"/>
        <v>23</v>
      </c>
      <c r="Y9" s="32">
        <f t="shared" si="0"/>
        <v>24</v>
      </c>
      <c r="Z9" s="32">
        <f t="shared" si="0"/>
        <v>25</v>
      </c>
      <c r="AA9" s="32">
        <f t="shared" si="0"/>
        <v>26</v>
      </c>
      <c r="AB9" s="32">
        <f t="shared" si="0"/>
        <v>27</v>
      </c>
      <c r="AC9" s="33">
        <f t="shared" si="0"/>
        <v>28</v>
      </c>
    </row>
    <row r="10" spans="1:33" s="24" customFormat="1" ht="41.7" customHeight="1" thickBot="1" x14ac:dyDescent="0.6">
      <c r="A10" s="34"/>
      <c r="B10" s="35"/>
      <c r="C10" s="36"/>
      <c r="D10" s="37"/>
      <c r="E10" s="36"/>
      <c r="F10" s="36"/>
      <c r="G10" s="38"/>
      <c r="H10" s="39"/>
      <c r="I10" s="40" t="s">
        <v>19</v>
      </c>
      <c r="J10" s="40" t="s">
        <v>20</v>
      </c>
      <c r="K10" s="41" t="s">
        <v>21</v>
      </c>
      <c r="L10" s="41" t="s">
        <v>22</v>
      </c>
      <c r="M10" s="40" t="s">
        <v>23</v>
      </c>
      <c r="N10" s="42" t="s">
        <v>24</v>
      </c>
      <c r="O10" s="42" t="s">
        <v>25</v>
      </c>
      <c r="P10" s="40" t="s">
        <v>19</v>
      </c>
      <c r="Q10" s="40" t="s">
        <v>20</v>
      </c>
      <c r="R10" s="41" t="s">
        <v>21</v>
      </c>
      <c r="S10" s="41" t="s">
        <v>22</v>
      </c>
      <c r="T10" s="40" t="s">
        <v>23</v>
      </c>
      <c r="U10" s="42" t="s">
        <v>24</v>
      </c>
      <c r="V10" s="42" t="s">
        <v>25</v>
      </c>
      <c r="W10" s="40" t="s">
        <v>19</v>
      </c>
      <c r="X10" s="40" t="s">
        <v>20</v>
      </c>
      <c r="Y10" s="41" t="s">
        <v>21</v>
      </c>
      <c r="Z10" s="41" t="s">
        <v>22</v>
      </c>
      <c r="AA10" s="40" t="s">
        <v>23</v>
      </c>
      <c r="AB10" s="42" t="s">
        <v>24</v>
      </c>
      <c r="AC10" s="43" t="s">
        <v>25</v>
      </c>
    </row>
    <row r="11" spans="1:33" s="55" customFormat="1" ht="105.6" customHeight="1" thickTop="1" x14ac:dyDescent="0.55000000000000004">
      <c r="A11" s="44" t="s">
        <v>26</v>
      </c>
      <c r="B11" s="45" t="s">
        <v>27</v>
      </c>
      <c r="C11" s="46" t="s">
        <v>28</v>
      </c>
      <c r="D11" s="47">
        <f>3000*0.65*F11</f>
        <v>1872000</v>
      </c>
      <c r="E11" s="48" t="s">
        <v>53</v>
      </c>
      <c r="F11" s="49">
        <f>SUM(I11:AC11)</f>
        <v>960</v>
      </c>
      <c r="G11" s="50">
        <f>250000/14400*(F11*20)</f>
        <v>333333.33333333331</v>
      </c>
      <c r="H11" s="51" t="s">
        <v>30</v>
      </c>
      <c r="I11" s="52">
        <v>46</v>
      </c>
      <c r="J11" s="53">
        <f>I11</f>
        <v>46</v>
      </c>
      <c r="K11" s="53">
        <f t="shared" ref="K11:AC11" si="1">J11</f>
        <v>46</v>
      </c>
      <c r="L11" s="53">
        <f t="shared" si="1"/>
        <v>46</v>
      </c>
      <c r="M11" s="53">
        <f t="shared" si="1"/>
        <v>46</v>
      </c>
      <c r="N11" s="53">
        <f t="shared" si="1"/>
        <v>46</v>
      </c>
      <c r="O11" s="53">
        <f>N11</f>
        <v>46</v>
      </c>
      <c r="P11" s="53">
        <f t="shared" si="1"/>
        <v>46</v>
      </c>
      <c r="Q11" s="53">
        <f t="shared" si="1"/>
        <v>46</v>
      </c>
      <c r="R11" s="53">
        <f t="shared" si="1"/>
        <v>46</v>
      </c>
      <c r="S11" s="53">
        <f t="shared" si="1"/>
        <v>46</v>
      </c>
      <c r="T11" s="53">
        <f t="shared" si="1"/>
        <v>46</v>
      </c>
      <c r="U11" s="53">
        <f t="shared" si="1"/>
        <v>46</v>
      </c>
      <c r="V11" s="53">
        <f t="shared" si="1"/>
        <v>46</v>
      </c>
      <c r="W11" s="53">
        <f t="shared" si="1"/>
        <v>46</v>
      </c>
      <c r="X11" s="53">
        <v>45</v>
      </c>
      <c r="Y11" s="53">
        <f t="shared" si="1"/>
        <v>45</v>
      </c>
      <c r="Z11" s="53">
        <f t="shared" si="1"/>
        <v>45</v>
      </c>
      <c r="AA11" s="53">
        <f t="shared" si="1"/>
        <v>45</v>
      </c>
      <c r="AB11" s="53">
        <f t="shared" si="1"/>
        <v>45</v>
      </c>
      <c r="AC11" s="54">
        <f t="shared" si="1"/>
        <v>45</v>
      </c>
    </row>
    <row r="12" spans="1:33" s="55" customFormat="1" ht="105.6" customHeight="1" x14ac:dyDescent="0.55000000000000004">
      <c r="A12" s="44"/>
      <c r="B12" s="45"/>
      <c r="C12" s="46"/>
      <c r="D12" s="47">
        <f>3000*0.65*F12</f>
        <v>280800</v>
      </c>
      <c r="E12" s="48"/>
      <c r="F12" s="56">
        <v>144</v>
      </c>
      <c r="G12" s="57" t="s">
        <v>31</v>
      </c>
      <c r="H12" s="51"/>
      <c r="I12" s="58" t="s">
        <v>54</v>
      </c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9"/>
    </row>
    <row r="13" spans="1:33" s="55" customFormat="1" ht="88.7" customHeight="1" x14ac:dyDescent="0.55000000000000004">
      <c r="A13" s="44"/>
      <c r="B13" s="60"/>
      <c r="C13" s="61"/>
      <c r="D13" s="62">
        <f>3000*0.65*F13</f>
        <v>861900</v>
      </c>
      <c r="E13" s="63"/>
      <c r="F13" s="64">
        <v>442</v>
      </c>
      <c r="G13" s="57" t="s">
        <v>31</v>
      </c>
      <c r="H13" s="65"/>
      <c r="I13" s="58" t="s">
        <v>55</v>
      </c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9"/>
    </row>
    <row r="14" spans="1:33" s="76" customFormat="1" ht="80.099999999999994" customHeight="1" thickBot="1" x14ac:dyDescent="0.6">
      <c r="A14" s="34"/>
      <c r="B14" s="66" t="s">
        <v>16</v>
      </c>
      <c r="C14" s="67"/>
      <c r="D14" s="68">
        <f>SUM(D11:D13)</f>
        <v>3014700</v>
      </c>
      <c r="E14" s="69"/>
      <c r="F14" s="70">
        <f>SUM(F11:F13)</f>
        <v>1546</v>
      </c>
      <c r="G14" s="71">
        <f>SUM(G11:G13)</f>
        <v>333333.33333333331</v>
      </c>
      <c r="H14" s="72"/>
      <c r="I14" s="73">
        <f>SUM(I11)</f>
        <v>46</v>
      </c>
      <c r="J14" s="74">
        <f t="shared" ref="J14:AC14" si="2">SUM(J11:J13)</f>
        <v>46</v>
      </c>
      <c r="K14" s="74">
        <f t="shared" si="2"/>
        <v>46</v>
      </c>
      <c r="L14" s="74">
        <f t="shared" si="2"/>
        <v>46</v>
      </c>
      <c r="M14" s="74">
        <f t="shared" si="2"/>
        <v>46</v>
      </c>
      <c r="N14" s="74">
        <f t="shared" si="2"/>
        <v>46</v>
      </c>
      <c r="O14" s="74">
        <f t="shared" si="2"/>
        <v>46</v>
      </c>
      <c r="P14" s="74">
        <f t="shared" si="2"/>
        <v>46</v>
      </c>
      <c r="Q14" s="74">
        <f t="shared" si="2"/>
        <v>46</v>
      </c>
      <c r="R14" s="74">
        <f t="shared" si="2"/>
        <v>46</v>
      </c>
      <c r="S14" s="74">
        <f t="shared" si="2"/>
        <v>46</v>
      </c>
      <c r="T14" s="74">
        <f t="shared" si="2"/>
        <v>46</v>
      </c>
      <c r="U14" s="74">
        <f t="shared" si="2"/>
        <v>46</v>
      </c>
      <c r="V14" s="74">
        <f t="shared" si="2"/>
        <v>46</v>
      </c>
      <c r="W14" s="74">
        <f t="shared" si="2"/>
        <v>46</v>
      </c>
      <c r="X14" s="74">
        <f t="shared" si="2"/>
        <v>45</v>
      </c>
      <c r="Y14" s="74">
        <f t="shared" si="2"/>
        <v>45</v>
      </c>
      <c r="Z14" s="74">
        <f t="shared" si="2"/>
        <v>45</v>
      </c>
      <c r="AA14" s="74">
        <f t="shared" si="2"/>
        <v>45</v>
      </c>
      <c r="AB14" s="74">
        <f t="shared" si="2"/>
        <v>45</v>
      </c>
      <c r="AC14" s="75">
        <f t="shared" si="2"/>
        <v>45</v>
      </c>
      <c r="AG14" s="77" t="s">
        <v>33</v>
      </c>
    </row>
    <row r="15" spans="1:33" ht="60" customHeight="1" thickTop="1" x14ac:dyDescent="0.55000000000000004">
      <c r="A15" s="4"/>
      <c r="B15" s="4"/>
      <c r="C15" s="4"/>
      <c r="D15" s="7"/>
      <c r="E15" s="7"/>
      <c r="F15" s="5"/>
      <c r="G15" s="5"/>
      <c r="H15" s="5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G15" s="77" t="s">
        <v>34</v>
      </c>
    </row>
    <row r="16" spans="1:33" ht="60" customHeight="1" x14ac:dyDescent="0.55000000000000004">
      <c r="A16" s="4"/>
      <c r="B16" s="4"/>
      <c r="C16" s="4"/>
      <c r="D16" s="7"/>
      <c r="E16" s="7"/>
      <c r="F16" s="5"/>
      <c r="G16" s="5"/>
      <c r="H16" s="5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G16" s="81" t="s">
        <v>35</v>
      </c>
    </row>
    <row r="17" spans="1:33" ht="60" customHeight="1" x14ac:dyDescent="0.55000000000000004">
      <c r="A17" s="79"/>
      <c r="B17" s="4"/>
      <c r="C17" s="4"/>
      <c r="D17" s="82"/>
      <c r="E17" s="82"/>
      <c r="F17" s="83" t="s">
        <v>36</v>
      </c>
      <c r="G17" s="84">
        <f>G11</f>
        <v>333333.33333333331</v>
      </c>
      <c r="H17" s="85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G17" s="77" t="s">
        <v>37</v>
      </c>
    </row>
    <row r="18" spans="1:33" ht="60" customHeight="1" x14ac:dyDescent="0.55000000000000004">
      <c r="A18" s="79"/>
      <c r="B18" s="4"/>
      <c r="C18" s="4"/>
      <c r="D18" s="82"/>
      <c r="E18" s="82"/>
      <c r="F18" s="87" t="s">
        <v>38</v>
      </c>
      <c r="G18" s="88">
        <f>G17*0.03</f>
        <v>9999.9999999999982</v>
      </c>
      <c r="H18" s="85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G18" s="77" t="s">
        <v>39</v>
      </c>
    </row>
    <row r="19" spans="1:33" ht="60" customHeight="1" x14ac:dyDescent="0.55000000000000004">
      <c r="A19" s="79"/>
      <c r="B19" s="4"/>
      <c r="C19" s="4"/>
      <c r="D19" s="82"/>
      <c r="E19" s="82"/>
      <c r="F19" s="87" t="s">
        <v>40</v>
      </c>
      <c r="G19" s="88">
        <f>SUM(G17:G18)*0.05</f>
        <v>17166.666666666668</v>
      </c>
      <c r="H19" s="85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</row>
    <row r="20" spans="1:33" ht="60" customHeight="1" x14ac:dyDescent="0.55000000000000004">
      <c r="A20" s="79"/>
      <c r="B20" s="4"/>
      <c r="C20" s="4"/>
      <c r="D20" s="82"/>
      <c r="E20" s="82"/>
      <c r="F20" s="87" t="s">
        <v>41</v>
      </c>
      <c r="G20" s="90">
        <f>SUM(G17:G19)</f>
        <v>360500</v>
      </c>
      <c r="H20" s="85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</row>
    <row r="21" spans="1:33" ht="55.7" customHeight="1" x14ac:dyDescent="0.55000000000000004">
      <c r="A21" s="3" t="s">
        <v>42</v>
      </c>
      <c r="B21" s="4"/>
      <c r="C21" s="4"/>
      <c r="D21" s="4"/>
      <c r="E21" s="4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33" ht="55.7" customHeight="1" x14ac:dyDescent="0.55000000000000004">
      <c r="A22" s="3" t="s">
        <v>43</v>
      </c>
      <c r="B22" s="24"/>
      <c r="C22" s="24"/>
      <c r="D22" s="24"/>
      <c r="E22" s="24"/>
      <c r="F22" s="91"/>
      <c r="G22" s="91"/>
      <c r="H22" s="91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</row>
    <row r="23" spans="1:33" ht="55.7" customHeight="1" x14ac:dyDescent="0.55000000000000004">
      <c r="A23" s="3" t="s">
        <v>44</v>
      </c>
      <c r="B23" s="93"/>
      <c r="C23" s="24"/>
      <c r="D23" s="24"/>
      <c r="E23" s="24"/>
      <c r="F23" s="91"/>
      <c r="G23" s="91"/>
      <c r="H23" s="91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</row>
    <row r="24" spans="1:33" ht="55.7" customHeight="1" x14ac:dyDescent="0.55000000000000004">
      <c r="A24" s="3" t="s">
        <v>45</v>
      </c>
      <c r="B24" s="94"/>
      <c r="C24" s="24"/>
      <c r="D24" s="24"/>
      <c r="E24" s="24"/>
      <c r="F24" s="91"/>
      <c r="G24" s="91"/>
      <c r="H24" s="91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</row>
    <row r="25" spans="1:33" ht="55.7" customHeight="1" x14ac:dyDescent="0.55000000000000004">
      <c r="A25" s="24"/>
      <c r="B25" s="24"/>
      <c r="C25" s="24"/>
      <c r="D25" s="24"/>
      <c r="E25" s="24"/>
      <c r="F25" s="91"/>
      <c r="G25" s="91"/>
      <c r="H25" s="91"/>
      <c r="I25" s="95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</row>
    <row r="26" spans="1:33" ht="55.7" customHeight="1" x14ac:dyDescent="0.55000000000000004">
      <c r="A26" s="24"/>
      <c r="B26" s="93"/>
      <c r="C26" s="24"/>
      <c r="D26" s="24"/>
      <c r="E26" s="24"/>
      <c r="F26" s="91"/>
      <c r="G26" s="91"/>
      <c r="H26" s="91"/>
      <c r="I26" s="95"/>
      <c r="J26" s="77"/>
      <c r="K26" s="77"/>
      <c r="L26" s="77"/>
      <c r="M26" s="77"/>
      <c r="N26" s="77"/>
      <c r="O26" s="77"/>
      <c r="P26" s="77"/>
      <c r="Q26" s="77"/>
      <c r="R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</row>
    <row r="27" spans="1:33" ht="27.7" x14ac:dyDescent="0.55000000000000004">
      <c r="A27" s="24"/>
      <c r="B27" s="94"/>
      <c r="C27" s="24"/>
      <c r="D27" s="24"/>
      <c r="E27" s="24"/>
      <c r="F27" s="91"/>
      <c r="G27" s="91"/>
      <c r="H27" s="91"/>
      <c r="I27" s="77"/>
      <c r="J27" s="77"/>
      <c r="K27" s="77"/>
      <c r="L27" s="77"/>
      <c r="M27" s="77"/>
      <c r="N27" s="77"/>
      <c r="O27" s="77"/>
      <c r="P27" s="77"/>
      <c r="Q27" s="77"/>
      <c r="R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</row>
    <row r="28" spans="1:33" ht="25.7" x14ac:dyDescent="0.55000000000000004">
      <c r="F28" s="91"/>
      <c r="G28" s="91"/>
      <c r="H28" s="91"/>
    </row>
  </sheetData>
  <mergeCells count="21">
    <mergeCell ref="I12:AC12"/>
    <mergeCell ref="I13:AC13"/>
    <mergeCell ref="B14:C14"/>
    <mergeCell ref="I15:Z15"/>
    <mergeCell ref="AA15:AC15"/>
    <mergeCell ref="I17:Z17"/>
    <mergeCell ref="AA17:AC17"/>
    <mergeCell ref="H8:H10"/>
    <mergeCell ref="A11:A14"/>
    <mergeCell ref="B11:B13"/>
    <mergeCell ref="C11:C13"/>
    <mergeCell ref="E11:E13"/>
    <mergeCell ref="H11:H13"/>
    <mergeCell ref="D7:G7"/>
    <mergeCell ref="A8:A10"/>
    <mergeCell ref="B8:B10"/>
    <mergeCell ref="C8:C10"/>
    <mergeCell ref="D8:D10"/>
    <mergeCell ref="E8:E10"/>
    <mergeCell ref="F8:F10"/>
    <mergeCell ref="G8:G10"/>
  </mergeCells>
  <phoneticPr fontId="4" type="noConversion"/>
  <pageMargins left="0.31496062992125984" right="0.31496062992125984" top="0.74803149606299213" bottom="0.74803149606299213" header="0.31496062992125984" footer="0.31496062992125984"/>
  <pageSetup paperSize="9" scale="3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4B7F-B7B2-4C00-94DC-149F4C2DB501}">
  <sheetPr>
    <tabColor rgb="FFFFFF00"/>
    <pageSetUpPr fitToPage="1"/>
  </sheetPr>
  <dimension ref="A1:AG28"/>
  <sheetViews>
    <sheetView showGridLines="0" view="pageBreakPreview" zoomScale="40" zoomScaleNormal="60" zoomScaleSheetLayoutView="40" workbookViewId="0">
      <selection activeCell="D13" sqref="D13"/>
    </sheetView>
  </sheetViews>
  <sheetFormatPr defaultColWidth="8.87890625" defaultRowHeight="15.7" x14ac:dyDescent="0.55000000000000004"/>
  <cols>
    <col min="1" max="1" width="43.87890625" style="97" customWidth="1"/>
    <col min="2" max="2" width="22" style="97" customWidth="1"/>
    <col min="3" max="3" width="38.76171875" style="97" customWidth="1"/>
    <col min="4" max="4" width="25.76171875" style="97" customWidth="1"/>
    <col min="5" max="5" width="23.1171875" style="97" customWidth="1"/>
    <col min="6" max="6" width="22.64453125" style="98" customWidth="1"/>
    <col min="7" max="7" width="30.64453125" style="98" customWidth="1"/>
    <col min="8" max="8" width="26.64453125" style="98" customWidth="1"/>
    <col min="9" max="29" width="10.3515625" style="96" customWidth="1"/>
    <col min="30" max="230" width="8.87890625" style="79"/>
    <col min="231" max="231" width="14.3515625" style="79" customWidth="1"/>
    <col min="232" max="232" width="21.87890625" style="79" customWidth="1"/>
    <col min="233" max="233" width="16" style="79" customWidth="1"/>
    <col min="234" max="234" width="54" style="79" customWidth="1"/>
    <col min="235" max="235" width="22.1171875" style="79" customWidth="1"/>
    <col min="236" max="236" width="21.46875" style="79" customWidth="1"/>
    <col min="237" max="237" width="17.87890625" style="79" customWidth="1"/>
    <col min="238" max="238" width="17" style="79" customWidth="1"/>
    <col min="239" max="240" width="28.1171875" style="79" customWidth="1"/>
    <col min="241" max="241" width="26.46875" style="79" customWidth="1"/>
    <col min="242" max="258" width="11.64453125" style="79" customWidth="1"/>
    <col min="259" max="259" width="16.3515625" style="79" customWidth="1"/>
    <col min="260" max="260" width="13.87890625" style="79" customWidth="1"/>
    <col min="261" max="264" width="11.64453125" style="79" customWidth="1"/>
    <col min="265" max="265" width="20.1171875" style="79" customWidth="1"/>
    <col min="266" max="267" width="2.64453125" style="79" customWidth="1"/>
    <col min="268" max="486" width="8.87890625" style="79"/>
    <col min="487" max="487" width="14.3515625" style="79" customWidth="1"/>
    <col min="488" max="488" width="21.87890625" style="79" customWidth="1"/>
    <col min="489" max="489" width="16" style="79" customWidth="1"/>
    <col min="490" max="490" width="54" style="79" customWidth="1"/>
    <col min="491" max="491" width="22.1171875" style="79" customWidth="1"/>
    <col min="492" max="492" width="21.46875" style="79" customWidth="1"/>
    <col min="493" max="493" width="17.87890625" style="79" customWidth="1"/>
    <col min="494" max="494" width="17" style="79" customWidth="1"/>
    <col min="495" max="496" width="28.1171875" style="79" customWidth="1"/>
    <col min="497" max="497" width="26.46875" style="79" customWidth="1"/>
    <col min="498" max="514" width="11.64453125" style="79" customWidth="1"/>
    <col min="515" max="515" width="16.3515625" style="79" customWidth="1"/>
    <col min="516" max="516" width="13.87890625" style="79" customWidth="1"/>
    <col min="517" max="520" width="11.64453125" style="79" customWidth="1"/>
    <col min="521" max="521" width="20.1171875" style="79" customWidth="1"/>
    <col min="522" max="523" width="2.64453125" style="79" customWidth="1"/>
    <col min="524" max="742" width="8.87890625" style="79"/>
    <col min="743" max="743" width="14.3515625" style="79" customWidth="1"/>
    <col min="744" max="744" width="21.87890625" style="79" customWidth="1"/>
    <col min="745" max="745" width="16" style="79" customWidth="1"/>
    <col min="746" max="746" width="54" style="79" customWidth="1"/>
    <col min="747" max="747" width="22.1171875" style="79" customWidth="1"/>
    <col min="748" max="748" width="21.46875" style="79" customWidth="1"/>
    <col min="749" max="749" width="17.87890625" style="79" customWidth="1"/>
    <col min="750" max="750" width="17" style="79" customWidth="1"/>
    <col min="751" max="752" width="28.1171875" style="79" customWidth="1"/>
    <col min="753" max="753" width="26.46875" style="79" customWidth="1"/>
    <col min="754" max="770" width="11.64453125" style="79" customWidth="1"/>
    <col min="771" max="771" width="16.3515625" style="79" customWidth="1"/>
    <col min="772" max="772" width="13.87890625" style="79" customWidth="1"/>
    <col min="773" max="776" width="11.64453125" style="79" customWidth="1"/>
    <col min="777" max="777" width="20.1171875" style="79" customWidth="1"/>
    <col min="778" max="779" width="2.64453125" style="79" customWidth="1"/>
    <col min="780" max="998" width="8.87890625" style="79"/>
    <col min="999" max="999" width="14.3515625" style="79" customWidth="1"/>
    <col min="1000" max="1000" width="21.87890625" style="79" customWidth="1"/>
    <col min="1001" max="1001" width="16" style="79" customWidth="1"/>
    <col min="1002" max="1002" width="54" style="79" customWidth="1"/>
    <col min="1003" max="1003" width="22.1171875" style="79" customWidth="1"/>
    <col min="1004" max="1004" width="21.46875" style="79" customWidth="1"/>
    <col min="1005" max="1005" width="17.87890625" style="79" customWidth="1"/>
    <col min="1006" max="1006" width="17" style="79" customWidth="1"/>
    <col min="1007" max="1008" width="28.1171875" style="79" customWidth="1"/>
    <col min="1009" max="1009" width="26.46875" style="79" customWidth="1"/>
    <col min="1010" max="1026" width="11.64453125" style="79" customWidth="1"/>
    <col min="1027" max="1027" width="16.3515625" style="79" customWidth="1"/>
    <col min="1028" max="1028" width="13.87890625" style="79" customWidth="1"/>
    <col min="1029" max="1032" width="11.64453125" style="79" customWidth="1"/>
    <col min="1033" max="1033" width="20.1171875" style="79" customWidth="1"/>
    <col min="1034" max="1035" width="2.64453125" style="79" customWidth="1"/>
    <col min="1036" max="1254" width="8.87890625" style="79"/>
    <col min="1255" max="1255" width="14.3515625" style="79" customWidth="1"/>
    <col min="1256" max="1256" width="21.87890625" style="79" customWidth="1"/>
    <col min="1257" max="1257" width="16" style="79" customWidth="1"/>
    <col min="1258" max="1258" width="54" style="79" customWidth="1"/>
    <col min="1259" max="1259" width="22.1171875" style="79" customWidth="1"/>
    <col min="1260" max="1260" width="21.46875" style="79" customWidth="1"/>
    <col min="1261" max="1261" width="17.87890625" style="79" customWidth="1"/>
    <col min="1262" max="1262" width="17" style="79" customWidth="1"/>
    <col min="1263" max="1264" width="28.1171875" style="79" customWidth="1"/>
    <col min="1265" max="1265" width="26.46875" style="79" customWidth="1"/>
    <col min="1266" max="1282" width="11.64453125" style="79" customWidth="1"/>
    <col min="1283" max="1283" width="16.3515625" style="79" customWidth="1"/>
    <col min="1284" max="1284" width="13.87890625" style="79" customWidth="1"/>
    <col min="1285" max="1288" width="11.64453125" style="79" customWidth="1"/>
    <col min="1289" max="1289" width="20.1171875" style="79" customWidth="1"/>
    <col min="1290" max="1291" width="2.64453125" style="79" customWidth="1"/>
    <col min="1292" max="1510" width="8.87890625" style="79"/>
    <col min="1511" max="1511" width="14.3515625" style="79" customWidth="1"/>
    <col min="1512" max="1512" width="21.87890625" style="79" customWidth="1"/>
    <col min="1513" max="1513" width="16" style="79" customWidth="1"/>
    <col min="1514" max="1514" width="54" style="79" customWidth="1"/>
    <col min="1515" max="1515" width="22.1171875" style="79" customWidth="1"/>
    <col min="1516" max="1516" width="21.46875" style="79" customWidth="1"/>
    <col min="1517" max="1517" width="17.87890625" style="79" customWidth="1"/>
    <col min="1518" max="1518" width="17" style="79" customWidth="1"/>
    <col min="1519" max="1520" width="28.1171875" style="79" customWidth="1"/>
    <col min="1521" max="1521" width="26.46875" style="79" customWidth="1"/>
    <col min="1522" max="1538" width="11.64453125" style="79" customWidth="1"/>
    <col min="1539" max="1539" width="16.3515625" style="79" customWidth="1"/>
    <col min="1540" max="1540" width="13.87890625" style="79" customWidth="1"/>
    <col min="1541" max="1544" width="11.64453125" style="79" customWidth="1"/>
    <col min="1545" max="1545" width="20.1171875" style="79" customWidth="1"/>
    <col min="1546" max="1547" width="2.64453125" style="79" customWidth="1"/>
    <col min="1548" max="1766" width="8.87890625" style="79"/>
    <col min="1767" max="1767" width="14.3515625" style="79" customWidth="1"/>
    <col min="1768" max="1768" width="21.87890625" style="79" customWidth="1"/>
    <col min="1769" max="1769" width="16" style="79" customWidth="1"/>
    <col min="1770" max="1770" width="54" style="79" customWidth="1"/>
    <col min="1771" max="1771" width="22.1171875" style="79" customWidth="1"/>
    <col min="1772" max="1772" width="21.46875" style="79" customWidth="1"/>
    <col min="1773" max="1773" width="17.87890625" style="79" customWidth="1"/>
    <col min="1774" max="1774" width="17" style="79" customWidth="1"/>
    <col min="1775" max="1776" width="28.1171875" style="79" customWidth="1"/>
    <col min="1777" max="1777" width="26.46875" style="79" customWidth="1"/>
    <col min="1778" max="1794" width="11.64453125" style="79" customWidth="1"/>
    <col min="1795" max="1795" width="16.3515625" style="79" customWidth="1"/>
    <col min="1796" max="1796" width="13.87890625" style="79" customWidth="1"/>
    <col min="1797" max="1800" width="11.64453125" style="79" customWidth="1"/>
    <col min="1801" max="1801" width="20.1171875" style="79" customWidth="1"/>
    <col min="1802" max="1803" width="2.64453125" style="79" customWidth="1"/>
    <col min="1804" max="2022" width="8.87890625" style="79"/>
    <col min="2023" max="2023" width="14.3515625" style="79" customWidth="1"/>
    <col min="2024" max="2024" width="21.87890625" style="79" customWidth="1"/>
    <col min="2025" max="2025" width="16" style="79" customWidth="1"/>
    <col min="2026" max="2026" width="54" style="79" customWidth="1"/>
    <col min="2027" max="2027" width="22.1171875" style="79" customWidth="1"/>
    <col min="2028" max="2028" width="21.46875" style="79" customWidth="1"/>
    <col min="2029" max="2029" width="17.87890625" style="79" customWidth="1"/>
    <col min="2030" max="2030" width="17" style="79" customWidth="1"/>
    <col min="2031" max="2032" width="28.1171875" style="79" customWidth="1"/>
    <col min="2033" max="2033" width="26.46875" style="79" customWidth="1"/>
    <col min="2034" max="2050" width="11.64453125" style="79" customWidth="1"/>
    <col min="2051" max="2051" width="16.3515625" style="79" customWidth="1"/>
    <col min="2052" max="2052" width="13.87890625" style="79" customWidth="1"/>
    <col min="2053" max="2056" width="11.64453125" style="79" customWidth="1"/>
    <col min="2057" max="2057" width="20.1171875" style="79" customWidth="1"/>
    <col min="2058" max="2059" width="2.64453125" style="79" customWidth="1"/>
    <col min="2060" max="2278" width="8.87890625" style="79"/>
    <col min="2279" max="2279" width="14.3515625" style="79" customWidth="1"/>
    <col min="2280" max="2280" width="21.87890625" style="79" customWidth="1"/>
    <col min="2281" max="2281" width="16" style="79" customWidth="1"/>
    <col min="2282" max="2282" width="54" style="79" customWidth="1"/>
    <col min="2283" max="2283" width="22.1171875" style="79" customWidth="1"/>
    <col min="2284" max="2284" width="21.46875" style="79" customWidth="1"/>
    <col min="2285" max="2285" width="17.87890625" style="79" customWidth="1"/>
    <col min="2286" max="2286" width="17" style="79" customWidth="1"/>
    <col min="2287" max="2288" width="28.1171875" style="79" customWidth="1"/>
    <col min="2289" max="2289" width="26.46875" style="79" customWidth="1"/>
    <col min="2290" max="2306" width="11.64453125" style="79" customWidth="1"/>
    <col min="2307" max="2307" width="16.3515625" style="79" customWidth="1"/>
    <col min="2308" max="2308" width="13.87890625" style="79" customWidth="1"/>
    <col min="2309" max="2312" width="11.64453125" style="79" customWidth="1"/>
    <col min="2313" max="2313" width="20.1171875" style="79" customWidth="1"/>
    <col min="2314" max="2315" width="2.64453125" style="79" customWidth="1"/>
    <col min="2316" max="2534" width="8.87890625" style="79"/>
    <col min="2535" max="2535" width="14.3515625" style="79" customWidth="1"/>
    <col min="2536" max="2536" width="21.87890625" style="79" customWidth="1"/>
    <col min="2537" max="2537" width="16" style="79" customWidth="1"/>
    <col min="2538" max="2538" width="54" style="79" customWidth="1"/>
    <col min="2539" max="2539" width="22.1171875" style="79" customWidth="1"/>
    <col min="2540" max="2540" width="21.46875" style="79" customWidth="1"/>
    <col min="2541" max="2541" width="17.87890625" style="79" customWidth="1"/>
    <col min="2542" max="2542" width="17" style="79" customWidth="1"/>
    <col min="2543" max="2544" width="28.1171875" style="79" customWidth="1"/>
    <col min="2545" max="2545" width="26.46875" style="79" customWidth="1"/>
    <col min="2546" max="2562" width="11.64453125" style="79" customWidth="1"/>
    <col min="2563" max="2563" width="16.3515625" style="79" customWidth="1"/>
    <col min="2564" max="2564" width="13.87890625" style="79" customWidth="1"/>
    <col min="2565" max="2568" width="11.64453125" style="79" customWidth="1"/>
    <col min="2569" max="2569" width="20.1171875" style="79" customWidth="1"/>
    <col min="2570" max="2571" width="2.64453125" style="79" customWidth="1"/>
    <col min="2572" max="2790" width="8.87890625" style="79"/>
    <col min="2791" max="2791" width="14.3515625" style="79" customWidth="1"/>
    <col min="2792" max="2792" width="21.87890625" style="79" customWidth="1"/>
    <col min="2793" max="2793" width="16" style="79" customWidth="1"/>
    <col min="2794" max="2794" width="54" style="79" customWidth="1"/>
    <col min="2795" max="2795" width="22.1171875" style="79" customWidth="1"/>
    <col min="2796" max="2796" width="21.46875" style="79" customWidth="1"/>
    <col min="2797" max="2797" width="17.87890625" style="79" customWidth="1"/>
    <col min="2798" max="2798" width="17" style="79" customWidth="1"/>
    <col min="2799" max="2800" width="28.1171875" style="79" customWidth="1"/>
    <col min="2801" max="2801" width="26.46875" style="79" customWidth="1"/>
    <col min="2802" max="2818" width="11.64453125" style="79" customWidth="1"/>
    <col min="2819" max="2819" width="16.3515625" style="79" customWidth="1"/>
    <col min="2820" max="2820" width="13.87890625" style="79" customWidth="1"/>
    <col min="2821" max="2824" width="11.64453125" style="79" customWidth="1"/>
    <col min="2825" max="2825" width="20.1171875" style="79" customWidth="1"/>
    <col min="2826" max="2827" width="2.64453125" style="79" customWidth="1"/>
    <col min="2828" max="3046" width="8.87890625" style="79"/>
    <col min="3047" max="3047" width="14.3515625" style="79" customWidth="1"/>
    <col min="3048" max="3048" width="21.87890625" style="79" customWidth="1"/>
    <col min="3049" max="3049" width="16" style="79" customWidth="1"/>
    <col min="3050" max="3050" width="54" style="79" customWidth="1"/>
    <col min="3051" max="3051" width="22.1171875" style="79" customWidth="1"/>
    <col min="3052" max="3052" width="21.46875" style="79" customWidth="1"/>
    <col min="3053" max="3053" width="17.87890625" style="79" customWidth="1"/>
    <col min="3054" max="3054" width="17" style="79" customWidth="1"/>
    <col min="3055" max="3056" width="28.1171875" style="79" customWidth="1"/>
    <col min="3057" max="3057" width="26.46875" style="79" customWidth="1"/>
    <col min="3058" max="3074" width="11.64453125" style="79" customWidth="1"/>
    <col min="3075" max="3075" width="16.3515625" style="79" customWidth="1"/>
    <col min="3076" max="3076" width="13.87890625" style="79" customWidth="1"/>
    <col min="3077" max="3080" width="11.64453125" style="79" customWidth="1"/>
    <col min="3081" max="3081" width="20.1171875" style="79" customWidth="1"/>
    <col min="3082" max="3083" width="2.64453125" style="79" customWidth="1"/>
    <col min="3084" max="3302" width="8.87890625" style="79"/>
    <col min="3303" max="3303" width="14.3515625" style="79" customWidth="1"/>
    <col min="3304" max="3304" width="21.87890625" style="79" customWidth="1"/>
    <col min="3305" max="3305" width="16" style="79" customWidth="1"/>
    <col min="3306" max="3306" width="54" style="79" customWidth="1"/>
    <col min="3307" max="3307" width="22.1171875" style="79" customWidth="1"/>
    <col min="3308" max="3308" width="21.46875" style="79" customWidth="1"/>
    <col min="3309" max="3309" width="17.87890625" style="79" customWidth="1"/>
    <col min="3310" max="3310" width="17" style="79" customWidth="1"/>
    <col min="3311" max="3312" width="28.1171875" style="79" customWidth="1"/>
    <col min="3313" max="3313" width="26.46875" style="79" customWidth="1"/>
    <col min="3314" max="3330" width="11.64453125" style="79" customWidth="1"/>
    <col min="3331" max="3331" width="16.3515625" style="79" customWidth="1"/>
    <col min="3332" max="3332" width="13.87890625" style="79" customWidth="1"/>
    <col min="3333" max="3336" width="11.64453125" style="79" customWidth="1"/>
    <col min="3337" max="3337" width="20.1171875" style="79" customWidth="1"/>
    <col min="3338" max="3339" width="2.64453125" style="79" customWidth="1"/>
    <col min="3340" max="3558" width="8.87890625" style="79"/>
    <col min="3559" max="3559" width="14.3515625" style="79" customWidth="1"/>
    <col min="3560" max="3560" width="21.87890625" style="79" customWidth="1"/>
    <col min="3561" max="3561" width="16" style="79" customWidth="1"/>
    <col min="3562" max="3562" width="54" style="79" customWidth="1"/>
    <col min="3563" max="3563" width="22.1171875" style="79" customWidth="1"/>
    <col min="3564" max="3564" width="21.46875" style="79" customWidth="1"/>
    <col min="3565" max="3565" width="17.87890625" style="79" customWidth="1"/>
    <col min="3566" max="3566" width="17" style="79" customWidth="1"/>
    <col min="3567" max="3568" width="28.1171875" style="79" customWidth="1"/>
    <col min="3569" max="3569" width="26.46875" style="79" customWidth="1"/>
    <col min="3570" max="3586" width="11.64453125" style="79" customWidth="1"/>
    <col min="3587" max="3587" width="16.3515625" style="79" customWidth="1"/>
    <col min="3588" max="3588" width="13.87890625" style="79" customWidth="1"/>
    <col min="3589" max="3592" width="11.64453125" style="79" customWidth="1"/>
    <col min="3593" max="3593" width="20.1171875" style="79" customWidth="1"/>
    <col min="3594" max="3595" width="2.64453125" style="79" customWidth="1"/>
    <col min="3596" max="3814" width="8.87890625" style="79"/>
    <col min="3815" max="3815" width="14.3515625" style="79" customWidth="1"/>
    <col min="3816" max="3816" width="21.87890625" style="79" customWidth="1"/>
    <col min="3817" max="3817" width="16" style="79" customWidth="1"/>
    <col min="3818" max="3818" width="54" style="79" customWidth="1"/>
    <col min="3819" max="3819" width="22.1171875" style="79" customWidth="1"/>
    <col min="3820" max="3820" width="21.46875" style="79" customWidth="1"/>
    <col min="3821" max="3821" width="17.87890625" style="79" customWidth="1"/>
    <col min="3822" max="3822" width="17" style="79" customWidth="1"/>
    <col min="3823" max="3824" width="28.1171875" style="79" customWidth="1"/>
    <col min="3825" max="3825" width="26.46875" style="79" customWidth="1"/>
    <col min="3826" max="3842" width="11.64453125" style="79" customWidth="1"/>
    <col min="3843" max="3843" width="16.3515625" style="79" customWidth="1"/>
    <col min="3844" max="3844" width="13.87890625" style="79" customWidth="1"/>
    <col min="3845" max="3848" width="11.64453125" style="79" customWidth="1"/>
    <col min="3849" max="3849" width="20.1171875" style="79" customWidth="1"/>
    <col min="3850" max="3851" width="2.64453125" style="79" customWidth="1"/>
    <col min="3852" max="4070" width="8.87890625" style="79"/>
    <col min="4071" max="4071" width="14.3515625" style="79" customWidth="1"/>
    <col min="4072" max="4072" width="21.87890625" style="79" customWidth="1"/>
    <col min="4073" max="4073" width="16" style="79" customWidth="1"/>
    <col min="4074" max="4074" width="54" style="79" customWidth="1"/>
    <col min="4075" max="4075" width="22.1171875" style="79" customWidth="1"/>
    <col min="4076" max="4076" width="21.46875" style="79" customWidth="1"/>
    <col min="4077" max="4077" width="17.87890625" style="79" customWidth="1"/>
    <col min="4078" max="4078" width="17" style="79" customWidth="1"/>
    <col min="4079" max="4080" width="28.1171875" style="79" customWidth="1"/>
    <col min="4081" max="4081" width="26.46875" style="79" customWidth="1"/>
    <col min="4082" max="4098" width="11.64453125" style="79" customWidth="1"/>
    <col min="4099" max="4099" width="16.3515625" style="79" customWidth="1"/>
    <col min="4100" max="4100" width="13.87890625" style="79" customWidth="1"/>
    <col min="4101" max="4104" width="11.64453125" style="79" customWidth="1"/>
    <col min="4105" max="4105" width="20.1171875" style="79" customWidth="1"/>
    <col min="4106" max="4107" width="2.64453125" style="79" customWidth="1"/>
    <col min="4108" max="4326" width="8.87890625" style="79"/>
    <col min="4327" max="4327" width="14.3515625" style="79" customWidth="1"/>
    <col min="4328" max="4328" width="21.87890625" style="79" customWidth="1"/>
    <col min="4329" max="4329" width="16" style="79" customWidth="1"/>
    <col min="4330" max="4330" width="54" style="79" customWidth="1"/>
    <col min="4331" max="4331" width="22.1171875" style="79" customWidth="1"/>
    <col min="4332" max="4332" width="21.46875" style="79" customWidth="1"/>
    <col min="4333" max="4333" width="17.87890625" style="79" customWidth="1"/>
    <col min="4334" max="4334" width="17" style="79" customWidth="1"/>
    <col min="4335" max="4336" width="28.1171875" style="79" customWidth="1"/>
    <col min="4337" max="4337" width="26.46875" style="79" customWidth="1"/>
    <col min="4338" max="4354" width="11.64453125" style="79" customWidth="1"/>
    <col min="4355" max="4355" width="16.3515625" style="79" customWidth="1"/>
    <col min="4356" max="4356" width="13.87890625" style="79" customWidth="1"/>
    <col min="4357" max="4360" width="11.64453125" style="79" customWidth="1"/>
    <col min="4361" max="4361" width="20.1171875" style="79" customWidth="1"/>
    <col min="4362" max="4363" width="2.64453125" style="79" customWidth="1"/>
    <col min="4364" max="4582" width="8.87890625" style="79"/>
    <col min="4583" max="4583" width="14.3515625" style="79" customWidth="1"/>
    <col min="4584" max="4584" width="21.87890625" style="79" customWidth="1"/>
    <col min="4585" max="4585" width="16" style="79" customWidth="1"/>
    <col min="4586" max="4586" width="54" style="79" customWidth="1"/>
    <col min="4587" max="4587" width="22.1171875" style="79" customWidth="1"/>
    <col min="4588" max="4588" width="21.46875" style="79" customWidth="1"/>
    <col min="4589" max="4589" width="17.87890625" style="79" customWidth="1"/>
    <col min="4590" max="4590" width="17" style="79" customWidth="1"/>
    <col min="4591" max="4592" width="28.1171875" style="79" customWidth="1"/>
    <col min="4593" max="4593" width="26.46875" style="79" customWidth="1"/>
    <col min="4594" max="4610" width="11.64453125" style="79" customWidth="1"/>
    <col min="4611" max="4611" width="16.3515625" style="79" customWidth="1"/>
    <col min="4612" max="4612" width="13.87890625" style="79" customWidth="1"/>
    <col min="4613" max="4616" width="11.64453125" style="79" customWidth="1"/>
    <col min="4617" max="4617" width="20.1171875" style="79" customWidth="1"/>
    <col min="4618" max="4619" width="2.64453125" style="79" customWidth="1"/>
    <col min="4620" max="4838" width="8.87890625" style="79"/>
    <col min="4839" max="4839" width="14.3515625" style="79" customWidth="1"/>
    <col min="4840" max="4840" width="21.87890625" style="79" customWidth="1"/>
    <col min="4841" max="4841" width="16" style="79" customWidth="1"/>
    <col min="4842" max="4842" width="54" style="79" customWidth="1"/>
    <col min="4843" max="4843" width="22.1171875" style="79" customWidth="1"/>
    <col min="4844" max="4844" width="21.46875" style="79" customWidth="1"/>
    <col min="4845" max="4845" width="17.87890625" style="79" customWidth="1"/>
    <col min="4846" max="4846" width="17" style="79" customWidth="1"/>
    <col min="4847" max="4848" width="28.1171875" style="79" customWidth="1"/>
    <col min="4849" max="4849" width="26.46875" style="79" customWidth="1"/>
    <col min="4850" max="4866" width="11.64453125" style="79" customWidth="1"/>
    <col min="4867" max="4867" width="16.3515625" style="79" customWidth="1"/>
    <col min="4868" max="4868" width="13.87890625" style="79" customWidth="1"/>
    <col min="4869" max="4872" width="11.64453125" style="79" customWidth="1"/>
    <col min="4873" max="4873" width="20.1171875" style="79" customWidth="1"/>
    <col min="4874" max="4875" width="2.64453125" style="79" customWidth="1"/>
    <col min="4876" max="5094" width="8.87890625" style="79"/>
    <col min="5095" max="5095" width="14.3515625" style="79" customWidth="1"/>
    <col min="5096" max="5096" width="21.87890625" style="79" customWidth="1"/>
    <col min="5097" max="5097" width="16" style="79" customWidth="1"/>
    <col min="5098" max="5098" width="54" style="79" customWidth="1"/>
    <col min="5099" max="5099" width="22.1171875" style="79" customWidth="1"/>
    <col min="5100" max="5100" width="21.46875" style="79" customWidth="1"/>
    <col min="5101" max="5101" width="17.87890625" style="79" customWidth="1"/>
    <col min="5102" max="5102" width="17" style="79" customWidth="1"/>
    <col min="5103" max="5104" width="28.1171875" style="79" customWidth="1"/>
    <col min="5105" max="5105" width="26.46875" style="79" customWidth="1"/>
    <col min="5106" max="5122" width="11.64453125" style="79" customWidth="1"/>
    <col min="5123" max="5123" width="16.3515625" style="79" customWidth="1"/>
    <col min="5124" max="5124" width="13.87890625" style="79" customWidth="1"/>
    <col min="5125" max="5128" width="11.64453125" style="79" customWidth="1"/>
    <col min="5129" max="5129" width="20.1171875" style="79" customWidth="1"/>
    <col min="5130" max="5131" width="2.64453125" style="79" customWidth="1"/>
    <col min="5132" max="5350" width="8.87890625" style="79"/>
    <col min="5351" max="5351" width="14.3515625" style="79" customWidth="1"/>
    <col min="5352" max="5352" width="21.87890625" style="79" customWidth="1"/>
    <col min="5353" max="5353" width="16" style="79" customWidth="1"/>
    <col min="5354" max="5354" width="54" style="79" customWidth="1"/>
    <col min="5355" max="5355" width="22.1171875" style="79" customWidth="1"/>
    <col min="5356" max="5356" width="21.46875" style="79" customWidth="1"/>
    <col min="5357" max="5357" width="17.87890625" style="79" customWidth="1"/>
    <col min="5358" max="5358" width="17" style="79" customWidth="1"/>
    <col min="5359" max="5360" width="28.1171875" style="79" customWidth="1"/>
    <col min="5361" max="5361" width="26.46875" style="79" customWidth="1"/>
    <col min="5362" max="5378" width="11.64453125" style="79" customWidth="1"/>
    <col min="5379" max="5379" width="16.3515625" style="79" customWidth="1"/>
    <col min="5380" max="5380" width="13.87890625" style="79" customWidth="1"/>
    <col min="5381" max="5384" width="11.64453125" style="79" customWidth="1"/>
    <col min="5385" max="5385" width="20.1171875" style="79" customWidth="1"/>
    <col min="5386" max="5387" width="2.64453125" style="79" customWidth="1"/>
    <col min="5388" max="5606" width="8.87890625" style="79"/>
    <col min="5607" max="5607" width="14.3515625" style="79" customWidth="1"/>
    <col min="5608" max="5608" width="21.87890625" style="79" customWidth="1"/>
    <col min="5609" max="5609" width="16" style="79" customWidth="1"/>
    <col min="5610" max="5610" width="54" style="79" customWidth="1"/>
    <col min="5611" max="5611" width="22.1171875" style="79" customWidth="1"/>
    <col min="5612" max="5612" width="21.46875" style="79" customWidth="1"/>
    <col min="5613" max="5613" width="17.87890625" style="79" customWidth="1"/>
    <col min="5614" max="5614" width="17" style="79" customWidth="1"/>
    <col min="5615" max="5616" width="28.1171875" style="79" customWidth="1"/>
    <col min="5617" max="5617" width="26.46875" style="79" customWidth="1"/>
    <col min="5618" max="5634" width="11.64453125" style="79" customWidth="1"/>
    <col min="5635" max="5635" width="16.3515625" style="79" customWidth="1"/>
    <col min="5636" max="5636" width="13.87890625" style="79" customWidth="1"/>
    <col min="5637" max="5640" width="11.64453125" style="79" customWidth="1"/>
    <col min="5641" max="5641" width="20.1171875" style="79" customWidth="1"/>
    <col min="5642" max="5643" width="2.64453125" style="79" customWidth="1"/>
    <col min="5644" max="5862" width="8.87890625" style="79"/>
    <col min="5863" max="5863" width="14.3515625" style="79" customWidth="1"/>
    <col min="5864" max="5864" width="21.87890625" style="79" customWidth="1"/>
    <col min="5865" max="5865" width="16" style="79" customWidth="1"/>
    <col min="5866" max="5866" width="54" style="79" customWidth="1"/>
    <col min="5867" max="5867" width="22.1171875" style="79" customWidth="1"/>
    <col min="5868" max="5868" width="21.46875" style="79" customWidth="1"/>
    <col min="5869" max="5869" width="17.87890625" style="79" customWidth="1"/>
    <col min="5870" max="5870" width="17" style="79" customWidth="1"/>
    <col min="5871" max="5872" width="28.1171875" style="79" customWidth="1"/>
    <col min="5873" max="5873" width="26.46875" style="79" customWidth="1"/>
    <col min="5874" max="5890" width="11.64453125" style="79" customWidth="1"/>
    <col min="5891" max="5891" width="16.3515625" style="79" customWidth="1"/>
    <col min="5892" max="5892" width="13.87890625" style="79" customWidth="1"/>
    <col min="5893" max="5896" width="11.64453125" style="79" customWidth="1"/>
    <col min="5897" max="5897" width="20.1171875" style="79" customWidth="1"/>
    <col min="5898" max="5899" width="2.64453125" style="79" customWidth="1"/>
    <col min="5900" max="6118" width="8.87890625" style="79"/>
    <col min="6119" max="6119" width="14.3515625" style="79" customWidth="1"/>
    <col min="6120" max="6120" width="21.87890625" style="79" customWidth="1"/>
    <col min="6121" max="6121" width="16" style="79" customWidth="1"/>
    <col min="6122" max="6122" width="54" style="79" customWidth="1"/>
    <col min="6123" max="6123" width="22.1171875" style="79" customWidth="1"/>
    <col min="6124" max="6124" width="21.46875" style="79" customWidth="1"/>
    <col min="6125" max="6125" width="17.87890625" style="79" customWidth="1"/>
    <col min="6126" max="6126" width="17" style="79" customWidth="1"/>
    <col min="6127" max="6128" width="28.1171875" style="79" customWidth="1"/>
    <col min="6129" max="6129" width="26.46875" style="79" customWidth="1"/>
    <col min="6130" max="6146" width="11.64453125" style="79" customWidth="1"/>
    <col min="6147" max="6147" width="16.3515625" style="79" customWidth="1"/>
    <col min="6148" max="6148" width="13.87890625" style="79" customWidth="1"/>
    <col min="6149" max="6152" width="11.64453125" style="79" customWidth="1"/>
    <col min="6153" max="6153" width="20.1171875" style="79" customWidth="1"/>
    <col min="6154" max="6155" width="2.64453125" style="79" customWidth="1"/>
    <col min="6156" max="6374" width="8.87890625" style="79"/>
    <col min="6375" max="6375" width="14.3515625" style="79" customWidth="1"/>
    <col min="6376" max="6376" width="21.87890625" style="79" customWidth="1"/>
    <col min="6377" max="6377" width="16" style="79" customWidth="1"/>
    <col min="6378" max="6378" width="54" style="79" customWidth="1"/>
    <col min="6379" max="6379" width="22.1171875" style="79" customWidth="1"/>
    <col min="6380" max="6380" width="21.46875" style="79" customWidth="1"/>
    <col min="6381" max="6381" width="17.87890625" style="79" customWidth="1"/>
    <col min="6382" max="6382" width="17" style="79" customWidth="1"/>
    <col min="6383" max="6384" width="28.1171875" style="79" customWidth="1"/>
    <col min="6385" max="6385" width="26.46875" style="79" customWidth="1"/>
    <col min="6386" max="6402" width="11.64453125" style="79" customWidth="1"/>
    <col min="6403" max="6403" width="16.3515625" style="79" customWidth="1"/>
    <col min="6404" max="6404" width="13.87890625" style="79" customWidth="1"/>
    <col min="6405" max="6408" width="11.64453125" style="79" customWidth="1"/>
    <col min="6409" max="6409" width="20.1171875" style="79" customWidth="1"/>
    <col min="6410" max="6411" width="2.64453125" style="79" customWidth="1"/>
    <col min="6412" max="6630" width="8.87890625" style="79"/>
    <col min="6631" max="6631" width="14.3515625" style="79" customWidth="1"/>
    <col min="6632" max="6632" width="21.87890625" style="79" customWidth="1"/>
    <col min="6633" max="6633" width="16" style="79" customWidth="1"/>
    <col min="6634" max="6634" width="54" style="79" customWidth="1"/>
    <col min="6635" max="6635" width="22.1171875" style="79" customWidth="1"/>
    <col min="6636" max="6636" width="21.46875" style="79" customWidth="1"/>
    <col min="6637" max="6637" width="17.87890625" style="79" customWidth="1"/>
    <col min="6638" max="6638" width="17" style="79" customWidth="1"/>
    <col min="6639" max="6640" width="28.1171875" style="79" customWidth="1"/>
    <col min="6641" max="6641" width="26.46875" style="79" customWidth="1"/>
    <col min="6642" max="6658" width="11.64453125" style="79" customWidth="1"/>
    <col min="6659" max="6659" width="16.3515625" style="79" customWidth="1"/>
    <col min="6660" max="6660" width="13.87890625" style="79" customWidth="1"/>
    <col min="6661" max="6664" width="11.64453125" style="79" customWidth="1"/>
    <col min="6665" max="6665" width="20.1171875" style="79" customWidth="1"/>
    <col min="6666" max="6667" width="2.64453125" style="79" customWidth="1"/>
    <col min="6668" max="6886" width="8.87890625" style="79"/>
    <col min="6887" max="6887" width="14.3515625" style="79" customWidth="1"/>
    <col min="6888" max="6888" width="21.87890625" style="79" customWidth="1"/>
    <col min="6889" max="6889" width="16" style="79" customWidth="1"/>
    <col min="6890" max="6890" width="54" style="79" customWidth="1"/>
    <col min="6891" max="6891" width="22.1171875" style="79" customWidth="1"/>
    <col min="6892" max="6892" width="21.46875" style="79" customWidth="1"/>
    <col min="6893" max="6893" width="17.87890625" style="79" customWidth="1"/>
    <col min="6894" max="6894" width="17" style="79" customWidth="1"/>
    <col min="6895" max="6896" width="28.1171875" style="79" customWidth="1"/>
    <col min="6897" max="6897" width="26.46875" style="79" customWidth="1"/>
    <col min="6898" max="6914" width="11.64453125" style="79" customWidth="1"/>
    <col min="6915" max="6915" width="16.3515625" style="79" customWidth="1"/>
    <col min="6916" max="6916" width="13.87890625" style="79" customWidth="1"/>
    <col min="6917" max="6920" width="11.64453125" style="79" customWidth="1"/>
    <col min="6921" max="6921" width="20.1171875" style="79" customWidth="1"/>
    <col min="6922" max="6923" width="2.64453125" style="79" customWidth="1"/>
    <col min="6924" max="7142" width="8.87890625" style="79"/>
    <col min="7143" max="7143" width="14.3515625" style="79" customWidth="1"/>
    <col min="7144" max="7144" width="21.87890625" style="79" customWidth="1"/>
    <col min="7145" max="7145" width="16" style="79" customWidth="1"/>
    <col min="7146" max="7146" width="54" style="79" customWidth="1"/>
    <col min="7147" max="7147" width="22.1171875" style="79" customWidth="1"/>
    <col min="7148" max="7148" width="21.46875" style="79" customWidth="1"/>
    <col min="7149" max="7149" width="17.87890625" style="79" customWidth="1"/>
    <col min="7150" max="7150" width="17" style="79" customWidth="1"/>
    <col min="7151" max="7152" width="28.1171875" style="79" customWidth="1"/>
    <col min="7153" max="7153" width="26.46875" style="79" customWidth="1"/>
    <col min="7154" max="7170" width="11.64453125" style="79" customWidth="1"/>
    <col min="7171" max="7171" width="16.3515625" style="79" customWidth="1"/>
    <col min="7172" max="7172" width="13.87890625" style="79" customWidth="1"/>
    <col min="7173" max="7176" width="11.64453125" style="79" customWidth="1"/>
    <col min="7177" max="7177" width="20.1171875" style="79" customWidth="1"/>
    <col min="7178" max="7179" width="2.64453125" style="79" customWidth="1"/>
    <col min="7180" max="7398" width="8.87890625" style="79"/>
    <col min="7399" max="7399" width="14.3515625" style="79" customWidth="1"/>
    <col min="7400" max="7400" width="21.87890625" style="79" customWidth="1"/>
    <col min="7401" max="7401" width="16" style="79" customWidth="1"/>
    <col min="7402" max="7402" width="54" style="79" customWidth="1"/>
    <col min="7403" max="7403" width="22.1171875" style="79" customWidth="1"/>
    <col min="7404" max="7404" width="21.46875" style="79" customWidth="1"/>
    <col min="7405" max="7405" width="17.87890625" style="79" customWidth="1"/>
    <col min="7406" max="7406" width="17" style="79" customWidth="1"/>
    <col min="7407" max="7408" width="28.1171875" style="79" customWidth="1"/>
    <col min="7409" max="7409" width="26.46875" style="79" customWidth="1"/>
    <col min="7410" max="7426" width="11.64453125" style="79" customWidth="1"/>
    <col min="7427" max="7427" width="16.3515625" style="79" customWidth="1"/>
    <col min="7428" max="7428" width="13.87890625" style="79" customWidth="1"/>
    <col min="7429" max="7432" width="11.64453125" style="79" customWidth="1"/>
    <col min="7433" max="7433" width="20.1171875" style="79" customWidth="1"/>
    <col min="7434" max="7435" width="2.64453125" style="79" customWidth="1"/>
    <col min="7436" max="7654" width="8.87890625" style="79"/>
    <col min="7655" max="7655" width="14.3515625" style="79" customWidth="1"/>
    <col min="7656" max="7656" width="21.87890625" style="79" customWidth="1"/>
    <col min="7657" max="7657" width="16" style="79" customWidth="1"/>
    <col min="7658" max="7658" width="54" style="79" customWidth="1"/>
    <col min="7659" max="7659" width="22.1171875" style="79" customWidth="1"/>
    <col min="7660" max="7660" width="21.46875" style="79" customWidth="1"/>
    <col min="7661" max="7661" width="17.87890625" style="79" customWidth="1"/>
    <col min="7662" max="7662" width="17" style="79" customWidth="1"/>
    <col min="7663" max="7664" width="28.1171875" style="79" customWidth="1"/>
    <col min="7665" max="7665" width="26.46875" style="79" customWidth="1"/>
    <col min="7666" max="7682" width="11.64453125" style="79" customWidth="1"/>
    <col min="7683" max="7683" width="16.3515625" style="79" customWidth="1"/>
    <col min="7684" max="7684" width="13.87890625" style="79" customWidth="1"/>
    <col min="7685" max="7688" width="11.64453125" style="79" customWidth="1"/>
    <col min="7689" max="7689" width="20.1171875" style="79" customWidth="1"/>
    <col min="7690" max="7691" width="2.64453125" style="79" customWidth="1"/>
    <col min="7692" max="7910" width="8.87890625" style="79"/>
    <col min="7911" max="7911" width="14.3515625" style="79" customWidth="1"/>
    <col min="7912" max="7912" width="21.87890625" style="79" customWidth="1"/>
    <col min="7913" max="7913" width="16" style="79" customWidth="1"/>
    <col min="7914" max="7914" width="54" style="79" customWidth="1"/>
    <col min="7915" max="7915" width="22.1171875" style="79" customWidth="1"/>
    <col min="7916" max="7916" width="21.46875" style="79" customWidth="1"/>
    <col min="7917" max="7917" width="17.87890625" style="79" customWidth="1"/>
    <col min="7918" max="7918" width="17" style="79" customWidth="1"/>
    <col min="7919" max="7920" width="28.1171875" style="79" customWidth="1"/>
    <col min="7921" max="7921" width="26.46875" style="79" customWidth="1"/>
    <col min="7922" max="7938" width="11.64453125" style="79" customWidth="1"/>
    <col min="7939" max="7939" width="16.3515625" style="79" customWidth="1"/>
    <col min="7940" max="7940" width="13.87890625" style="79" customWidth="1"/>
    <col min="7941" max="7944" width="11.64453125" style="79" customWidth="1"/>
    <col min="7945" max="7945" width="20.1171875" style="79" customWidth="1"/>
    <col min="7946" max="7947" width="2.64453125" style="79" customWidth="1"/>
    <col min="7948" max="8166" width="8.87890625" style="79"/>
    <col min="8167" max="8167" width="14.3515625" style="79" customWidth="1"/>
    <col min="8168" max="8168" width="21.87890625" style="79" customWidth="1"/>
    <col min="8169" max="8169" width="16" style="79" customWidth="1"/>
    <col min="8170" max="8170" width="54" style="79" customWidth="1"/>
    <col min="8171" max="8171" width="22.1171875" style="79" customWidth="1"/>
    <col min="8172" max="8172" width="21.46875" style="79" customWidth="1"/>
    <col min="8173" max="8173" width="17.87890625" style="79" customWidth="1"/>
    <col min="8174" max="8174" width="17" style="79" customWidth="1"/>
    <col min="8175" max="8176" width="28.1171875" style="79" customWidth="1"/>
    <col min="8177" max="8177" width="26.46875" style="79" customWidth="1"/>
    <col min="8178" max="8194" width="11.64453125" style="79" customWidth="1"/>
    <col min="8195" max="8195" width="16.3515625" style="79" customWidth="1"/>
    <col min="8196" max="8196" width="13.87890625" style="79" customWidth="1"/>
    <col min="8197" max="8200" width="11.64453125" style="79" customWidth="1"/>
    <col min="8201" max="8201" width="20.1171875" style="79" customWidth="1"/>
    <col min="8202" max="8203" width="2.64453125" style="79" customWidth="1"/>
    <col min="8204" max="8422" width="8.87890625" style="79"/>
    <col min="8423" max="8423" width="14.3515625" style="79" customWidth="1"/>
    <col min="8424" max="8424" width="21.87890625" style="79" customWidth="1"/>
    <col min="8425" max="8425" width="16" style="79" customWidth="1"/>
    <col min="8426" max="8426" width="54" style="79" customWidth="1"/>
    <col min="8427" max="8427" width="22.1171875" style="79" customWidth="1"/>
    <col min="8428" max="8428" width="21.46875" style="79" customWidth="1"/>
    <col min="8429" max="8429" width="17.87890625" style="79" customWidth="1"/>
    <col min="8430" max="8430" width="17" style="79" customWidth="1"/>
    <col min="8431" max="8432" width="28.1171875" style="79" customWidth="1"/>
    <col min="8433" max="8433" width="26.46875" style="79" customWidth="1"/>
    <col min="8434" max="8450" width="11.64453125" style="79" customWidth="1"/>
    <col min="8451" max="8451" width="16.3515625" style="79" customWidth="1"/>
    <col min="8452" max="8452" width="13.87890625" style="79" customWidth="1"/>
    <col min="8453" max="8456" width="11.64453125" style="79" customWidth="1"/>
    <col min="8457" max="8457" width="20.1171875" style="79" customWidth="1"/>
    <col min="8458" max="8459" width="2.64453125" style="79" customWidth="1"/>
    <col min="8460" max="8678" width="8.87890625" style="79"/>
    <col min="8679" max="8679" width="14.3515625" style="79" customWidth="1"/>
    <col min="8680" max="8680" width="21.87890625" style="79" customWidth="1"/>
    <col min="8681" max="8681" width="16" style="79" customWidth="1"/>
    <col min="8682" max="8682" width="54" style="79" customWidth="1"/>
    <col min="8683" max="8683" width="22.1171875" style="79" customWidth="1"/>
    <col min="8684" max="8684" width="21.46875" style="79" customWidth="1"/>
    <col min="8685" max="8685" width="17.87890625" style="79" customWidth="1"/>
    <col min="8686" max="8686" width="17" style="79" customWidth="1"/>
    <col min="8687" max="8688" width="28.1171875" style="79" customWidth="1"/>
    <col min="8689" max="8689" width="26.46875" style="79" customWidth="1"/>
    <col min="8690" max="8706" width="11.64453125" style="79" customWidth="1"/>
    <col min="8707" max="8707" width="16.3515625" style="79" customWidth="1"/>
    <col min="8708" max="8708" width="13.87890625" style="79" customWidth="1"/>
    <col min="8709" max="8712" width="11.64453125" style="79" customWidth="1"/>
    <col min="8713" max="8713" width="20.1171875" style="79" customWidth="1"/>
    <col min="8714" max="8715" width="2.64453125" style="79" customWidth="1"/>
    <col min="8716" max="8934" width="8.87890625" style="79"/>
    <col min="8935" max="8935" width="14.3515625" style="79" customWidth="1"/>
    <col min="8936" max="8936" width="21.87890625" style="79" customWidth="1"/>
    <col min="8937" max="8937" width="16" style="79" customWidth="1"/>
    <col min="8938" max="8938" width="54" style="79" customWidth="1"/>
    <col min="8939" max="8939" width="22.1171875" style="79" customWidth="1"/>
    <col min="8940" max="8940" width="21.46875" style="79" customWidth="1"/>
    <col min="8941" max="8941" width="17.87890625" style="79" customWidth="1"/>
    <col min="8942" max="8942" width="17" style="79" customWidth="1"/>
    <col min="8943" max="8944" width="28.1171875" style="79" customWidth="1"/>
    <col min="8945" max="8945" width="26.46875" style="79" customWidth="1"/>
    <col min="8946" max="8962" width="11.64453125" style="79" customWidth="1"/>
    <col min="8963" max="8963" width="16.3515625" style="79" customWidth="1"/>
    <col min="8964" max="8964" width="13.87890625" style="79" customWidth="1"/>
    <col min="8965" max="8968" width="11.64453125" style="79" customWidth="1"/>
    <col min="8969" max="8969" width="20.1171875" style="79" customWidth="1"/>
    <col min="8970" max="8971" width="2.64453125" style="79" customWidth="1"/>
    <col min="8972" max="9190" width="8.87890625" style="79"/>
    <col min="9191" max="9191" width="14.3515625" style="79" customWidth="1"/>
    <col min="9192" max="9192" width="21.87890625" style="79" customWidth="1"/>
    <col min="9193" max="9193" width="16" style="79" customWidth="1"/>
    <col min="9194" max="9194" width="54" style="79" customWidth="1"/>
    <col min="9195" max="9195" width="22.1171875" style="79" customWidth="1"/>
    <col min="9196" max="9196" width="21.46875" style="79" customWidth="1"/>
    <col min="9197" max="9197" width="17.87890625" style="79" customWidth="1"/>
    <col min="9198" max="9198" width="17" style="79" customWidth="1"/>
    <col min="9199" max="9200" width="28.1171875" style="79" customWidth="1"/>
    <col min="9201" max="9201" width="26.46875" style="79" customWidth="1"/>
    <col min="9202" max="9218" width="11.64453125" style="79" customWidth="1"/>
    <col min="9219" max="9219" width="16.3515625" style="79" customWidth="1"/>
    <col min="9220" max="9220" width="13.87890625" style="79" customWidth="1"/>
    <col min="9221" max="9224" width="11.64453125" style="79" customWidth="1"/>
    <col min="9225" max="9225" width="20.1171875" style="79" customWidth="1"/>
    <col min="9226" max="9227" width="2.64453125" style="79" customWidth="1"/>
    <col min="9228" max="9446" width="8.87890625" style="79"/>
    <col min="9447" max="9447" width="14.3515625" style="79" customWidth="1"/>
    <col min="9448" max="9448" width="21.87890625" style="79" customWidth="1"/>
    <col min="9449" max="9449" width="16" style="79" customWidth="1"/>
    <col min="9450" max="9450" width="54" style="79" customWidth="1"/>
    <col min="9451" max="9451" width="22.1171875" style="79" customWidth="1"/>
    <col min="9452" max="9452" width="21.46875" style="79" customWidth="1"/>
    <col min="9453" max="9453" width="17.87890625" style="79" customWidth="1"/>
    <col min="9454" max="9454" width="17" style="79" customWidth="1"/>
    <col min="9455" max="9456" width="28.1171875" style="79" customWidth="1"/>
    <col min="9457" max="9457" width="26.46875" style="79" customWidth="1"/>
    <col min="9458" max="9474" width="11.64453125" style="79" customWidth="1"/>
    <col min="9475" max="9475" width="16.3515625" style="79" customWidth="1"/>
    <col min="9476" max="9476" width="13.87890625" style="79" customWidth="1"/>
    <col min="9477" max="9480" width="11.64453125" style="79" customWidth="1"/>
    <col min="9481" max="9481" width="20.1171875" style="79" customWidth="1"/>
    <col min="9482" max="9483" width="2.64453125" style="79" customWidth="1"/>
    <col min="9484" max="9702" width="8.87890625" style="79"/>
    <col min="9703" max="9703" width="14.3515625" style="79" customWidth="1"/>
    <col min="9704" max="9704" width="21.87890625" style="79" customWidth="1"/>
    <col min="9705" max="9705" width="16" style="79" customWidth="1"/>
    <col min="9706" max="9706" width="54" style="79" customWidth="1"/>
    <col min="9707" max="9707" width="22.1171875" style="79" customWidth="1"/>
    <col min="9708" max="9708" width="21.46875" style="79" customWidth="1"/>
    <col min="9709" max="9709" width="17.87890625" style="79" customWidth="1"/>
    <col min="9710" max="9710" width="17" style="79" customWidth="1"/>
    <col min="9711" max="9712" width="28.1171875" style="79" customWidth="1"/>
    <col min="9713" max="9713" width="26.46875" style="79" customWidth="1"/>
    <col min="9714" max="9730" width="11.64453125" style="79" customWidth="1"/>
    <col min="9731" max="9731" width="16.3515625" style="79" customWidth="1"/>
    <col min="9732" max="9732" width="13.87890625" style="79" customWidth="1"/>
    <col min="9733" max="9736" width="11.64453125" style="79" customWidth="1"/>
    <col min="9737" max="9737" width="20.1171875" style="79" customWidth="1"/>
    <col min="9738" max="9739" width="2.64453125" style="79" customWidth="1"/>
    <col min="9740" max="9958" width="8.87890625" style="79"/>
    <col min="9959" max="9959" width="14.3515625" style="79" customWidth="1"/>
    <col min="9960" max="9960" width="21.87890625" style="79" customWidth="1"/>
    <col min="9961" max="9961" width="16" style="79" customWidth="1"/>
    <col min="9962" max="9962" width="54" style="79" customWidth="1"/>
    <col min="9963" max="9963" width="22.1171875" style="79" customWidth="1"/>
    <col min="9964" max="9964" width="21.46875" style="79" customWidth="1"/>
    <col min="9965" max="9965" width="17.87890625" style="79" customWidth="1"/>
    <col min="9966" max="9966" width="17" style="79" customWidth="1"/>
    <col min="9967" max="9968" width="28.1171875" style="79" customWidth="1"/>
    <col min="9969" max="9969" width="26.46875" style="79" customWidth="1"/>
    <col min="9970" max="9986" width="11.64453125" style="79" customWidth="1"/>
    <col min="9987" max="9987" width="16.3515625" style="79" customWidth="1"/>
    <col min="9988" max="9988" width="13.87890625" style="79" customWidth="1"/>
    <col min="9989" max="9992" width="11.64453125" style="79" customWidth="1"/>
    <col min="9993" max="9993" width="20.1171875" style="79" customWidth="1"/>
    <col min="9994" max="9995" width="2.64453125" style="79" customWidth="1"/>
    <col min="9996" max="10214" width="8.87890625" style="79"/>
    <col min="10215" max="10215" width="14.3515625" style="79" customWidth="1"/>
    <col min="10216" max="10216" width="21.87890625" style="79" customWidth="1"/>
    <col min="10217" max="10217" width="16" style="79" customWidth="1"/>
    <col min="10218" max="10218" width="54" style="79" customWidth="1"/>
    <col min="10219" max="10219" width="22.1171875" style="79" customWidth="1"/>
    <col min="10220" max="10220" width="21.46875" style="79" customWidth="1"/>
    <col min="10221" max="10221" width="17.87890625" style="79" customWidth="1"/>
    <col min="10222" max="10222" width="17" style="79" customWidth="1"/>
    <col min="10223" max="10224" width="28.1171875" style="79" customWidth="1"/>
    <col min="10225" max="10225" width="26.46875" style="79" customWidth="1"/>
    <col min="10226" max="10242" width="11.64453125" style="79" customWidth="1"/>
    <col min="10243" max="10243" width="16.3515625" style="79" customWidth="1"/>
    <col min="10244" max="10244" width="13.87890625" style="79" customWidth="1"/>
    <col min="10245" max="10248" width="11.64453125" style="79" customWidth="1"/>
    <col min="10249" max="10249" width="20.1171875" style="79" customWidth="1"/>
    <col min="10250" max="10251" width="2.64453125" style="79" customWidth="1"/>
    <col min="10252" max="10470" width="8.87890625" style="79"/>
    <col min="10471" max="10471" width="14.3515625" style="79" customWidth="1"/>
    <col min="10472" max="10472" width="21.87890625" style="79" customWidth="1"/>
    <col min="10473" max="10473" width="16" style="79" customWidth="1"/>
    <col min="10474" max="10474" width="54" style="79" customWidth="1"/>
    <col min="10475" max="10475" width="22.1171875" style="79" customWidth="1"/>
    <col min="10476" max="10476" width="21.46875" style="79" customWidth="1"/>
    <col min="10477" max="10477" width="17.87890625" style="79" customWidth="1"/>
    <col min="10478" max="10478" width="17" style="79" customWidth="1"/>
    <col min="10479" max="10480" width="28.1171875" style="79" customWidth="1"/>
    <col min="10481" max="10481" width="26.46875" style="79" customWidth="1"/>
    <col min="10482" max="10498" width="11.64453125" style="79" customWidth="1"/>
    <col min="10499" max="10499" width="16.3515625" style="79" customWidth="1"/>
    <col min="10500" max="10500" width="13.87890625" style="79" customWidth="1"/>
    <col min="10501" max="10504" width="11.64453125" style="79" customWidth="1"/>
    <col min="10505" max="10505" width="20.1171875" style="79" customWidth="1"/>
    <col min="10506" max="10507" width="2.64453125" style="79" customWidth="1"/>
    <col min="10508" max="10726" width="8.87890625" style="79"/>
    <col min="10727" max="10727" width="14.3515625" style="79" customWidth="1"/>
    <col min="10728" max="10728" width="21.87890625" style="79" customWidth="1"/>
    <col min="10729" max="10729" width="16" style="79" customWidth="1"/>
    <col min="10730" max="10730" width="54" style="79" customWidth="1"/>
    <col min="10731" max="10731" width="22.1171875" style="79" customWidth="1"/>
    <col min="10732" max="10732" width="21.46875" style="79" customWidth="1"/>
    <col min="10733" max="10733" width="17.87890625" style="79" customWidth="1"/>
    <col min="10734" max="10734" width="17" style="79" customWidth="1"/>
    <col min="10735" max="10736" width="28.1171875" style="79" customWidth="1"/>
    <col min="10737" max="10737" width="26.46875" style="79" customWidth="1"/>
    <col min="10738" max="10754" width="11.64453125" style="79" customWidth="1"/>
    <col min="10755" max="10755" width="16.3515625" style="79" customWidth="1"/>
    <col min="10756" max="10756" width="13.87890625" style="79" customWidth="1"/>
    <col min="10757" max="10760" width="11.64453125" style="79" customWidth="1"/>
    <col min="10761" max="10761" width="20.1171875" style="79" customWidth="1"/>
    <col min="10762" max="10763" width="2.64453125" style="79" customWidth="1"/>
    <col min="10764" max="10982" width="8.87890625" style="79"/>
    <col min="10983" max="10983" width="14.3515625" style="79" customWidth="1"/>
    <col min="10984" max="10984" width="21.87890625" style="79" customWidth="1"/>
    <col min="10985" max="10985" width="16" style="79" customWidth="1"/>
    <col min="10986" max="10986" width="54" style="79" customWidth="1"/>
    <col min="10987" max="10987" width="22.1171875" style="79" customWidth="1"/>
    <col min="10988" max="10988" width="21.46875" style="79" customWidth="1"/>
    <col min="10989" max="10989" width="17.87890625" style="79" customWidth="1"/>
    <col min="10990" max="10990" width="17" style="79" customWidth="1"/>
    <col min="10991" max="10992" width="28.1171875" style="79" customWidth="1"/>
    <col min="10993" max="10993" width="26.46875" style="79" customWidth="1"/>
    <col min="10994" max="11010" width="11.64453125" style="79" customWidth="1"/>
    <col min="11011" max="11011" width="16.3515625" style="79" customWidth="1"/>
    <col min="11012" max="11012" width="13.87890625" style="79" customWidth="1"/>
    <col min="11013" max="11016" width="11.64453125" style="79" customWidth="1"/>
    <col min="11017" max="11017" width="20.1171875" style="79" customWidth="1"/>
    <col min="11018" max="11019" width="2.64453125" style="79" customWidth="1"/>
    <col min="11020" max="11238" width="8.87890625" style="79"/>
    <col min="11239" max="11239" width="14.3515625" style="79" customWidth="1"/>
    <col min="11240" max="11240" width="21.87890625" style="79" customWidth="1"/>
    <col min="11241" max="11241" width="16" style="79" customWidth="1"/>
    <col min="11242" max="11242" width="54" style="79" customWidth="1"/>
    <col min="11243" max="11243" width="22.1171875" style="79" customWidth="1"/>
    <col min="11244" max="11244" width="21.46875" style="79" customWidth="1"/>
    <col min="11245" max="11245" width="17.87890625" style="79" customWidth="1"/>
    <col min="11246" max="11246" width="17" style="79" customWidth="1"/>
    <col min="11247" max="11248" width="28.1171875" style="79" customWidth="1"/>
    <col min="11249" max="11249" width="26.46875" style="79" customWidth="1"/>
    <col min="11250" max="11266" width="11.64453125" style="79" customWidth="1"/>
    <col min="11267" max="11267" width="16.3515625" style="79" customWidth="1"/>
    <col min="11268" max="11268" width="13.87890625" style="79" customWidth="1"/>
    <col min="11269" max="11272" width="11.64453125" style="79" customWidth="1"/>
    <col min="11273" max="11273" width="20.1171875" style="79" customWidth="1"/>
    <col min="11274" max="11275" width="2.64453125" style="79" customWidth="1"/>
    <col min="11276" max="11494" width="8.87890625" style="79"/>
    <col min="11495" max="11495" width="14.3515625" style="79" customWidth="1"/>
    <col min="11496" max="11496" width="21.87890625" style="79" customWidth="1"/>
    <col min="11497" max="11497" width="16" style="79" customWidth="1"/>
    <col min="11498" max="11498" width="54" style="79" customWidth="1"/>
    <col min="11499" max="11499" width="22.1171875" style="79" customWidth="1"/>
    <col min="11500" max="11500" width="21.46875" style="79" customWidth="1"/>
    <col min="11501" max="11501" width="17.87890625" style="79" customWidth="1"/>
    <col min="11502" max="11502" width="17" style="79" customWidth="1"/>
    <col min="11503" max="11504" width="28.1171875" style="79" customWidth="1"/>
    <col min="11505" max="11505" width="26.46875" style="79" customWidth="1"/>
    <col min="11506" max="11522" width="11.64453125" style="79" customWidth="1"/>
    <col min="11523" max="11523" width="16.3515625" style="79" customWidth="1"/>
    <col min="11524" max="11524" width="13.87890625" style="79" customWidth="1"/>
    <col min="11525" max="11528" width="11.64453125" style="79" customWidth="1"/>
    <col min="11529" max="11529" width="20.1171875" style="79" customWidth="1"/>
    <col min="11530" max="11531" width="2.64453125" style="79" customWidth="1"/>
    <col min="11532" max="11750" width="8.87890625" style="79"/>
    <col min="11751" max="11751" width="14.3515625" style="79" customWidth="1"/>
    <col min="11752" max="11752" width="21.87890625" style="79" customWidth="1"/>
    <col min="11753" max="11753" width="16" style="79" customWidth="1"/>
    <col min="11754" max="11754" width="54" style="79" customWidth="1"/>
    <col min="11755" max="11755" width="22.1171875" style="79" customWidth="1"/>
    <col min="11756" max="11756" width="21.46875" style="79" customWidth="1"/>
    <col min="11757" max="11757" width="17.87890625" style="79" customWidth="1"/>
    <col min="11758" max="11758" width="17" style="79" customWidth="1"/>
    <col min="11759" max="11760" width="28.1171875" style="79" customWidth="1"/>
    <col min="11761" max="11761" width="26.46875" style="79" customWidth="1"/>
    <col min="11762" max="11778" width="11.64453125" style="79" customWidth="1"/>
    <col min="11779" max="11779" width="16.3515625" style="79" customWidth="1"/>
    <col min="11780" max="11780" width="13.87890625" style="79" customWidth="1"/>
    <col min="11781" max="11784" width="11.64453125" style="79" customWidth="1"/>
    <col min="11785" max="11785" width="20.1171875" style="79" customWidth="1"/>
    <col min="11786" max="11787" width="2.64453125" style="79" customWidth="1"/>
    <col min="11788" max="12006" width="8.87890625" style="79"/>
    <col min="12007" max="12007" width="14.3515625" style="79" customWidth="1"/>
    <col min="12008" max="12008" width="21.87890625" style="79" customWidth="1"/>
    <col min="12009" max="12009" width="16" style="79" customWidth="1"/>
    <col min="12010" max="12010" width="54" style="79" customWidth="1"/>
    <col min="12011" max="12011" width="22.1171875" style="79" customWidth="1"/>
    <col min="12012" max="12012" width="21.46875" style="79" customWidth="1"/>
    <col min="12013" max="12013" width="17.87890625" style="79" customWidth="1"/>
    <col min="12014" max="12014" width="17" style="79" customWidth="1"/>
    <col min="12015" max="12016" width="28.1171875" style="79" customWidth="1"/>
    <col min="12017" max="12017" width="26.46875" style="79" customWidth="1"/>
    <col min="12018" max="12034" width="11.64453125" style="79" customWidth="1"/>
    <col min="12035" max="12035" width="16.3515625" style="79" customWidth="1"/>
    <col min="12036" max="12036" width="13.87890625" style="79" customWidth="1"/>
    <col min="12037" max="12040" width="11.64453125" style="79" customWidth="1"/>
    <col min="12041" max="12041" width="20.1171875" style="79" customWidth="1"/>
    <col min="12042" max="12043" width="2.64453125" style="79" customWidth="1"/>
    <col min="12044" max="12262" width="8.87890625" style="79"/>
    <col min="12263" max="12263" width="14.3515625" style="79" customWidth="1"/>
    <col min="12264" max="12264" width="21.87890625" style="79" customWidth="1"/>
    <col min="12265" max="12265" width="16" style="79" customWidth="1"/>
    <col min="12266" max="12266" width="54" style="79" customWidth="1"/>
    <col min="12267" max="12267" width="22.1171875" style="79" customWidth="1"/>
    <col min="12268" max="12268" width="21.46875" style="79" customWidth="1"/>
    <col min="12269" max="12269" width="17.87890625" style="79" customWidth="1"/>
    <col min="12270" max="12270" width="17" style="79" customWidth="1"/>
    <col min="12271" max="12272" width="28.1171875" style="79" customWidth="1"/>
    <col min="12273" max="12273" width="26.46875" style="79" customWidth="1"/>
    <col min="12274" max="12290" width="11.64453125" style="79" customWidth="1"/>
    <col min="12291" max="12291" width="16.3515625" style="79" customWidth="1"/>
    <col min="12292" max="12292" width="13.87890625" style="79" customWidth="1"/>
    <col min="12293" max="12296" width="11.64453125" style="79" customWidth="1"/>
    <col min="12297" max="12297" width="20.1171875" style="79" customWidth="1"/>
    <col min="12298" max="12299" width="2.64453125" style="79" customWidth="1"/>
    <col min="12300" max="12518" width="8.87890625" style="79"/>
    <col min="12519" max="12519" width="14.3515625" style="79" customWidth="1"/>
    <col min="12520" max="12520" width="21.87890625" style="79" customWidth="1"/>
    <col min="12521" max="12521" width="16" style="79" customWidth="1"/>
    <col min="12522" max="12522" width="54" style="79" customWidth="1"/>
    <col min="12523" max="12523" width="22.1171875" style="79" customWidth="1"/>
    <col min="12524" max="12524" width="21.46875" style="79" customWidth="1"/>
    <col min="12525" max="12525" width="17.87890625" style="79" customWidth="1"/>
    <col min="12526" max="12526" width="17" style="79" customWidth="1"/>
    <col min="12527" max="12528" width="28.1171875" style="79" customWidth="1"/>
    <col min="12529" max="12529" width="26.46875" style="79" customWidth="1"/>
    <col min="12530" max="12546" width="11.64453125" style="79" customWidth="1"/>
    <col min="12547" max="12547" width="16.3515625" style="79" customWidth="1"/>
    <col min="12548" max="12548" width="13.87890625" style="79" customWidth="1"/>
    <col min="12549" max="12552" width="11.64453125" style="79" customWidth="1"/>
    <col min="12553" max="12553" width="20.1171875" style="79" customWidth="1"/>
    <col min="12554" max="12555" width="2.64453125" style="79" customWidth="1"/>
    <col min="12556" max="12774" width="8.87890625" style="79"/>
    <col min="12775" max="12775" width="14.3515625" style="79" customWidth="1"/>
    <col min="12776" max="12776" width="21.87890625" style="79" customWidth="1"/>
    <col min="12777" max="12777" width="16" style="79" customWidth="1"/>
    <col min="12778" max="12778" width="54" style="79" customWidth="1"/>
    <col min="12779" max="12779" width="22.1171875" style="79" customWidth="1"/>
    <col min="12780" max="12780" width="21.46875" style="79" customWidth="1"/>
    <col min="12781" max="12781" width="17.87890625" style="79" customWidth="1"/>
    <col min="12782" max="12782" width="17" style="79" customWidth="1"/>
    <col min="12783" max="12784" width="28.1171875" style="79" customWidth="1"/>
    <col min="12785" max="12785" width="26.46875" style="79" customWidth="1"/>
    <col min="12786" max="12802" width="11.64453125" style="79" customWidth="1"/>
    <col min="12803" max="12803" width="16.3515625" style="79" customWidth="1"/>
    <col min="12804" max="12804" width="13.87890625" style="79" customWidth="1"/>
    <col min="12805" max="12808" width="11.64453125" style="79" customWidth="1"/>
    <col min="12809" max="12809" width="20.1171875" style="79" customWidth="1"/>
    <col min="12810" max="12811" width="2.64453125" style="79" customWidth="1"/>
    <col min="12812" max="13030" width="8.87890625" style="79"/>
    <col min="13031" max="13031" width="14.3515625" style="79" customWidth="1"/>
    <col min="13032" max="13032" width="21.87890625" style="79" customWidth="1"/>
    <col min="13033" max="13033" width="16" style="79" customWidth="1"/>
    <col min="13034" max="13034" width="54" style="79" customWidth="1"/>
    <col min="13035" max="13035" width="22.1171875" style="79" customWidth="1"/>
    <col min="13036" max="13036" width="21.46875" style="79" customWidth="1"/>
    <col min="13037" max="13037" width="17.87890625" style="79" customWidth="1"/>
    <col min="13038" max="13038" width="17" style="79" customWidth="1"/>
    <col min="13039" max="13040" width="28.1171875" style="79" customWidth="1"/>
    <col min="13041" max="13041" width="26.46875" style="79" customWidth="1"/>
    <col min="13042" max="13058" width="11.64453125" style="79" customWidth="1"/>
    <col min="13059" max="13059" width="16.3515625" style="79" customWidth="1"/>
    <col min="13060" max="13060" width="13.87890625" style="79" customWidth="1"/>
    <col min="13061" max="13064" width="11.64453125" style="79" customWidth="1"/>
    <col min="13065" max="13065" width="20.1171875" style="79" customWidth="1"/>
    <col min="13066" max="13067" width="2.64453125" style="79" customWidth="1"/>
    <col min="13068" max="13286" width="8.87890625" style="79"/>
    <col min="13287" max="13287" width="14.3515625" style="79" customWidth="1"/>
    <col min="13288" max="13288" width="21.87890625" style="79" customWidth="1"/>
    <col min="13289" max="13289" width="16" style="79" customWidth="1"/>
    <col min="13290" max="13290" width="54" style="79" customWidth="1"/>
    <col min="13291" max="13291" width="22.1171875" style="79" customWidth="1"/>
    <col min="13292" max="13292" width="21.46875" style="79" customWidth="1"/>
    <col min="13293" max="13293" width="17.87890625" style="79" customWidth="1"/>
    <col min="13294" max="13294" width="17" style="79" customWidth="1"/>
    <col min="13295" max="13296" width="28.1171875" style="79" customWidth="1"/>
    <col min="13297" max="13297" width="26.46875" style="79" customWidth="1"/>
    <col min="13298" max="13314" width="11.64453125" style="79" customWidth="1"/>
    <col min="13315" max="13315" width="16.3515625" style="79" customWidth="1"/>
    <col min="13316" max="13316" width="13.87890625" style="79" customWidth="1"/>
    <col min="13317" max="13320" width="11.64453125" style="79" customWidth="1"/>
    <col min="13321" max="13321" width="20.1171875" style="79" customWidth="1"/>
    <col min="13322" max="13323" width="2.64453125" style="79" customWidth="1"/>
    <col min="13324" max="13542" width="8.87890625" style="79"/>
    <col min="13543" max="13543" width="14.3515625" style="79" customWidth="1"/>
    <col min="13544" max="13544" width="21.87890625" style="79" customWidth="1"/>
    <col min="13545" max="13545" width="16" style="79" customWidth="1"/>
    <col min="13546" max="13546" width="54" style="79" customWidth="1"/>
    <col min="13547" max="13547" width="22.1171875" style="79" customWidth="1"/>
    <col min="13548" max="13548" width="21.46875" style="79" customWidth="1"/>
    <col min="13549" max="13549" width="17.87890625" style="79" customWidth="1"/>
    <col min="13550" max="13550" width="17" style="79" customWidth="1"/>
    <col min="13551" max="13552" width="28.1171875" style="79" customWidth="1"/>
    <col min="13553" max="13553" width="26.46875" style="79" customWidth="1"/>
    <col min="13554" max="13570" width="11.64453125" style="79" customWidth="1"/>
    <col min="13571" max="13571" width="16.3515625" style="79" customWidth="1"/>
    <col min="13572" max="13572" width="13.87890625" style="79" customWidth="1"/>
    <col min="13573" max="13576" width="11.64453125" style="79" customWidth="1"/>
    <col min="13577" max="13577" width="20.1171875" style="79" customWidth="1"/>
    <col min="13578" max="13579" width="2.64453125" style="79" customWidth="1"/>
    <col min="13580" max="13798" width="8.87890625" style="79"/>
    <col min="13799" max="13799" width="14.3515625" style="79" customWidth="1"/>
    <col min="13800" max="13800" width="21.87890625" style="79" customWidth="1"/>
    <col min="13801" max="13801" width="16" style="79" customWidth="1"/>
    <col min="13802" max="13802" width="54" style="79" customWidth="1"/>
    <col min="13803" max="13803" width="22.1171875" style="79" customWidth="1"/>
    <col min="13804" max="13804" width="21.46875" style="79" customWidth="1"/>
    <col min="13805" max="13805" width="17.87890625" style="79" customWidth="1"/>
    <col min="13806" max="13806" width="17" style="79" customWidth="1"/>
    <col min="13807" max="13808" width="28.1171875" style="79" customWidth="1"/>
    <col min="13809" max="13809" width="26.46875" style="79" customWidth="1"/>
    <col min="13810" max="13826" width="11.64453125" style="79" customWidth="1"/>
    <col min="13827" max="13827" width="16.3515625" style="79" customWidth="1"/>
    <col min="13828" max="13828" width="13.87890625" style="79" customWidth="1"/>
    <col min="13829" max="13832" width="11.64453125" style="79" customWidth="1"/>
    <col min="13833" max="13833" width="20.1171875" style="79" customWidth="1"/>
    <col min="13834" max="13835" width="2.64453125" style="79" customWidth="1"/>
    <col min="13836" max="14054" width="8.87890625" style="79"/>
    <col min="14055" max="14055" width="14.3515625" style="79" customWidth="1"/>
    <col min="14056" max="14056" width="21.87890625" style="79" customWidth="1"/>
    <col min="14057" max="14057" width="16" style="79" customWidth="1"/>
    <col min="14058" max="14058" width="54" style="79" customWidth="1"/>
    <col min="14059" max="14059" width="22.1171875" style="79" customWidth="1"/>
    <col min="14060" max="14060" width="21.46875" style="79" customWidth="1"/>
    <col min="14061" max="14061" width="17.87890625" style="79" customWidth="1"/>
    <col min="14062" max="14062" width="17" style="79" customWidth="1"/>
    <col min="14063" max="14064" width="28.1171875" style="79" customWidth="1"/>
    <col min="14065" max="14065" width="26.46875" style="79" customWidth="1"/>
    <col min="14066" max="14082" width="11.64453125" style="79" customWidth="1"/>
    <col min="14083" max="14083" width="16.3515625" style="79" customWidth="1"/>
    <col min="14084" max="14084" width="13.87890625" style="79" customWidth="1"/>
    <col min="14085" max="14088" width="11.64453125" style="79" customWidth="1"/>
    <col min="14089" max="14089" width="20.1171875" style="79" customWidth="1"/>
    <col min="14090" max="14091" width="2.64453125" style="79" customWidth="1"/>
    <col min="14092" max="14310" width="8.87890625" style="79"/>
    <col min="14311" max="14311" width="14.3515625" style="79" customWidth="1"/>
    <col min="14312" max="14312" width="21.87890625" style="79" customWidth="1"/>
    <col min="14313" max="14313" width="16" style="79" customWidth="1"/>
    <col min="14314" max="14314" width="54" style="79" customWidth="1"/>
    <col min="14315" max="14315" width="22.1171875" style="79" customWidth="1"/>
    <col min="14316" max="14316" width="21.46875" style="79" customWidth="1"/>
    <col min="14317" max="14317" width="17.87890625" style="79" customWidth="1"/>
    <col min="14318" max="14318" width="17" style="79" customWidth="1"/>
    <col min="14319" max="14320" width="28.1171875" style="79" customWidth="1"/>
    <col min="14321" max="14321" width="26.46875" style="79" customWidth="1"/>
    <col min="14322" max="14338" width="11.64453125" style="79" customWidth="1"/>
    <col min="14339" max="14339" width="16.3515625" style="79" customWidth="1"/>
    <col min="14340" max="14340" width="13.87890625" style="79" customWidth="1"/>
    <col min="14341" max="14344" width="11.64453125" style="79" customWidth="1"/>
    <col min="14345" max="14345" width="20.1171875" style="79" customWidth="1"/>
    <col min="14346" max="14347" width="2.64453125" style="79" customWidth="1"/>
    <col min="14348" max="14566" width="8.87890625" style="79"/>
    <col min="14567" max="14567" width="14.3515625" style="79" customWidth="1"/>
    <col min="14568" max="14568" width="21.87890625" style="79" customWidth="1"/>
    <col min="14569" max="14569" width="16" style="79" customWidth="1"/>
    <col min="14570" max="14570" width="54" style="79" customWidth="1"/>
    <col min="14571" max="14571" width="22.1171875" style="79" customWidth="1"/>
    <col min="14572" max="14572" width="21.46875" style="79" customWidth="1"/>
    <col min="14573" max="14573" width="17.87890625" style="79" customWidth="1"/>
    <col min="14574" max="14574" width="17" style="79" customWidth="1"/>
    <col min="14575" max="14576" width="28.1171875" style="79" customWidth="1"/>
    <col min="14577" max="14577" width="26.46875" style="79" customWidth="1"/>
    <col min="14578" max="14594" width="11.64453125" style="79" customWidth="1"/>
    <col min="14595" max="14595" width="16.3515625" style="79" customWidth="1"/>
    <col min="14596" max="14596" width="13.87890625" style="79" customWidth="1"/>
    <col min="14597" max="14600" width="11.64453125" style="79" customWidth="1"/>
    <col min="14601" max="14601" width="20.1171875" style="79" customWidth="1"/>
    <col min="14602" max="14603" width="2.64453125" style="79" customWidth="1"/>
    <col min="14604" max="14822" width="8.87890625" style="79"/>
    <col min="14823" max="14823" width="14.3515625" style="79" customWidth="1"/>
    <col min="14824" max="14824" width="21.87890625" style="79" customWidth="1"/>
    <col min="14825" max="14825" width="16" style="79" customWidth="1"/>
    <col min="14826" max="14826" width="54" style="79" customWidth="1"/>
    <col min="14827" max="14827" width="22.1171875" style="79" customWidth="1"/>
    <col min="14828" max="14828" width="21.46875" style="79" customWidth="1"/>
    <col min="14829" max="14829" width="17.87890625" style="79" customWidth="1"/>
    <col min="14830" max="14830" width="17" style="79" customWidth="1"/>
    <col min="14831" max="14832" width="28.1171875" style="79" customWidth="1"/>
    <col min="14833" max="14833" width="26.46875" style="79" customWidth="1"/>
    <col min="14834" max="14850" width="11.64453125" style="79" customWidth="1"/>
    <col min="14851" max="14851" width="16.3515625" style="79" customWidth="1"/>
    <col min="14852" max="14852" width="13.87890625" style="79" customWidth="1"/>
    <col min="14853" max="14856" width="11.64453125" style="79" customWidth="1"/>
    <col min="14857" max="14857" width="20.1171875" style="79" customWidth="1"/>
    <col min="14858" max="14859" width="2.64453125" style="79" customWidth="1"/>
    <col min="14860" max="15078" width="8.87890625" style="79"/>
    <col min="15079" max="15079" width="14.3515625" style="79" customWidth="1"/>
    <col min="15080" max="15080" width="21.87890625" style="79" customWidth="1"/>
    <col min="15081" max="15081" width="16" style="79" customWidth="1"/>
    <col min="15082" max="15082" width="54" style="79" customWidth="1"/>
    <col min="15083" max="15083" width="22.1171875" style="79" customWidth="1"/>
    <col min="15084" max="15084" width="21.46875" style="79" customWidth="1"/>
    <col min="15085" max="15085" width="17.87890625" style="79" customWidth="1"/>
    <col min="15086" max="15086" width="17" style="79" customWidth="1"/>
    <col min="15087" max="15088" width="28.1171875" style="79" customWidth="1"/>
    <col min="15089" max="15089" width="26.46875" style="79" customWidth="1"/>
    <col min="15090" max="15106" width="11.64453125" style="79" customWidth="1"/>
    <col min="15107" max="15107" width="16.3515625" style="79" customWidth="1"/>
    <col min="15108" max="15108" width="13.87890625" style="79" customWidth="1"/>
    <col min="15109" max="15112" width="11.64453125" style="79" customWidth="1"/>
    <col min="15113" max="15113" width="20.1171875" style="79" customWidth="1"/>
    <col min="15114" max="15115" width="2.64453125" style="79" customWidth="1"/>
    <col min="15116" max="15334" width="8.87890625" style="79"/>
    <col min="15335" max="15335" width="14.3515625" style="79" customWidth="1"/>
    <col min="15336" max="15336" width="21.87890625" style="79" customWidth="1"/>
    <col min="15337" max="15337" width="16" style="79" customWidth="1"/>
    <col min="15338" max="15338" width="54" style="79" customWidth="1"/>
    <col min="15339" max="15339" width="22.1171875" style="79" customWidth="1"/>
    <col min="15340" max="15340" width="21.46875" style="79" customWidth="1"/>
    <col min="15341" max="15341" width="17.87890625" style="79" customWidth="1"/>
    <col min="15342" max="15342" width="17" style="79" customWidth="1"/>
    <col min="15343" max="15344" width="28.1171875" style="79" customWidth="1"/>
    <col min="15345" max="15345" width="26.46875" style="79" customWidth="1"/>
    <col min="15346" max="15362" width="11.64453125" style="79" customWidth="1"/>
    <col min="15363" max="15363" width="16.3515625" style="79" customWidth="1"/>
    <col min="15364" max="15364" width="13.87890625" style="79" customWidth="1"/>
    <col min="15365" max="15368" width="11.64453125" style="79" customWidth="1"/>
    <col min="15369" max="15369" width="20.1171875" style="79" customWidth="1"/>
    <col min="15370" max="15371" width="2.64453125" style="79" customWidth="1"/>
    <col min="15372" max="15590" width="8.87890625" style="79"/>
    <col min="15591" max="15591" width="14.3515625" style="79" customWidth="1"/>
    <col min="15592" max="15592" width="21.87890625" style="79" customWidth="1"/>
    <col min="15593" max="15593" width="16" style="79" customWidth="1"/>
    <col min="15594" max="15594" width="54" style="79" customWidth="1"/>
    <col min="15595" max="15595" width="22.1171875" style="79" customWidth="1"/>
    <col min="15596" max="15596" width="21.46875" style="79" customWidth="1"/>
    <col min="15597" max="15597" width="17.87890625" style="79" customWidth="1"/>
    <col min="15598" max="15598" width="17" style="79" customWidth="1"/>
    <col min="15599" max="15600" width="28.1171875" style="79" customWidth="1"/>
    <col min="15601" max="15601" width="26.46875" style="79" customWidth="1"/>
    <col min="15602" max="15618" width="11.64453125" style="79" customWidth="1"/>
    <col min="15619" max="15619" width="16.3515625" style="79" customWidth="1"/>
    <col min="15620" max="15620" width="13.87890625" style="79" customWidth="1"/>
    <col min="15621" max="15624" width="11.64453125" style="79" customWidth="1"/>
    <col min="15625" max="15625" width="20.1171875" style="79" customWidth="1"/>
    <col min="15626" max="15627" width="2.64453125" style="79" customWidth="1"/>
    <col min="15628" max="15846" width="8.87890625" style="79"/>
    <col min="15847" max="15847" width="14.3515625" style="79" customWidth="1"/>
    <col min="15848" max="15848" width="21.87890625" style="79" customWidth="1"/>
    <col min="15849" max="15849" width="16" style="79" customWidth="1"/>
    <col min="15850" max="15850" width="54" style="79" customWidth="1"/>
    <col min="15851" max="15851" width="22.1171875" style="79" customWidth="1"/>
    <col min="15852" max="15852" width="21.46875" style="79" customWidth="1"/>
    <col min="15853" max="15853" width="17.87890625" style="79" customWidth="1"/>
    <col min="15854" max="15854" width="17" style="79" customWidth="1"/>
    <col min="15855" max="15856" width="28.1171875" style="79" customWidth="1"/>
    <col min="15857" max="15857" width="26.46875" style="79" customWidth="1"/>
    <col min="15858" max="15874" width="11.64453125" style="79" customWidth="1"/>
    <col min="15875" max="15875" width="16.3515625" style="79" customWidth="1"/>
    <col min="15876" max="15876" width="13.87890625" style="79" customWidth="1"/>
    <col min="15877" max="15880" width="11.64453125" style="79" customWidth="1"/>
    <col min="15881" max="15881" width="20.1171875" style="79" customWidth="1"/>
    <col min="15882" max="15883" width="2.64453125" style="79" customWidth="1"/>
    <col min="15884" max="16102" width="8.87890625" style="79"/>
    <col min="16103" max="16103" width="14.3515625" style="79" customWidth="1"/>
    <col min="16104" max="16104" width="21.87890625" style="79" customWidth="1"/>
    <col min="16105" max="16105" width="16" style="79" customWidth="1"/>
    <col min="16106" max="16106" width="54" style="79" customWidth="1"/>
    <col min="16107" max="16107" width="22.1171875" style="79" customWidth="1"/>
    <col min="16108" max="16108" width="21.46875" style="79" customWidth="1"/>
    <col min="16109" max="16109" width="17.87890625" style="79" customWidth="1"/>
    <col min="16110" max="16110" width="17" style="79" customWidth="1"/>
    <col min="16111" max="16112" width="28.1171875" style="79" customWidth="1"/>
    <col min="16113" max="16113" width="26.46875" style="79" customWidth="1"/>
    <col min="16114" max="16130" width="11.64453125" style="79" customWidth="1"/>
    <col min="16131" max="16131" width="16.3515625" style="79" customWidth="1"/>
    <col min="16132" max="16132" width="13.87890625" style="79" customWidth="1"/>
    <col min="16133" max="16136" width="11.64453125" style="79" customWidth="1"/>
    <col min="16137" max="16137" width="20.1171875" style="79" customWidth="1"/>
    <col min="16138" max="16139" width="2.64453125" style="79" customWidth="1"/>
    <col min="16140" max="16384" width="8.87890625" style="79"/>
  </cols>
  <sheetData>
    <row r="1" spans="1:33" s="7" customFormat="1" ht="39.950000000000003" customHeight="1" x14ac:dyDescent="0.9">
      <c r="A1" s="1" t="s">
        <v>0</v>
      </c>
      <c r="B1" s="2"/>
      <c r="C1" s="3" t="s">
        <v>1</v>
      </c>
      <c r="D1" s="4"/>
      <c r="E1" s="4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33" s="7" customFormat="1" ht="39.950000000000003" customHeight="1" x14ac:dyDescent="0.9">
      <c r="A2" s="1" t="s">
        <v>2</v>
      </c>
      <c r="B2" s="8"/>
      <c r="C2" s="9" t="s">
        <v>3</v>
      </c>
      <c r="D2" s="4"/>
      <c r="E2" s="4"/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33" s="7" customFormat="1" ht="39.950000000000003" customHeight="1" x14ac:dyDescent="0.9">
      <c r="A3" s="1" t="s">
        <v>4</v>
      </c>
      <c r="B3" s="8"/>
      <c r="C3" s="9"/>
      <c r="D3" s="4"/>
      <c r="E3" s="4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33" s="7" customFormat="1" ht="39.950000000000003" customHeight="1" x14ac:dyDescent="0.9">
      <c r="A4" s="1" t="s">
        <v>5</v>
      </c>
      <c r="B4" s="8"/>
      <c r="C4" s="3" t="s">
        <v>6</v>
      </c>
      <c r="D4" s="4"/>
      <c r="E4" s="4"/>
      <c r="F4" s="5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33" s="7" customFormat="1" ht="39.950000000000003" customHeight="1" x14ac:dyDescent="0.9">
      <c r="A5" s="1" t="s">
        <v>7</v>
      </c>
      <c r="B5" s="8"/>
      <c r="C5" s="9"/>
      <c r="D5" s="4"/>
      <c r="E5" s="4"/>
      <c r="F5" s="5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33" s="7" customFormat="1" ht="39.950000000000003" customHeight="1" x14ac:dyDescent="0.9">
      <c r="A6" s="1" t="s">
        <v>8</v>
      </c>
      <c r="B6" s="8"/>
      <c r="C6" s="9" t="s">
        <v>9</v>
      </c>
      <c r="D6" s="4"/>
      <c r="E6" s="4"/>
      <c r="F6" s="5"/>
      <c r="G6" s="5"/>
      <c r="H6" s="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33" s="7" customFormat="1" ht="39.950000000000003" customHeight="1" thickBot="1" x14ac:dyDescent="0.95">
      <c r="A7" s="4"/>
      <c r="B7" s="4"/>
      <c r="C7" s="4"/>
      <c r="D7" s="11"/>
      <c r="E7" s="11"/>
      <c r="F7" s="11"/>
      <c r="G7" s="11"/>
      <c r="H7" s="12"/>
      <c r="I7" s="13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33" s="24" customFormat="1" ht="41.7" customHeight="1" thickTop="1" x14ac:dyDescent="0.55000000000000004">
      <c r="A8" s="15" t="s">
        <v>10</v>
      </c>
      <c r="B8" s="16" t="s">
        <v>11</v>
      </c>
      <c r="C8" s="17" t="s">
        <v>12</v>
      </c>
      <c r="D8" s="18" t="s">
        <v>13</v>
      </c>
      <c r="E8" s="17" t="s">
        <v>14</v>
      </c>
      <c r="F8" s="17" t="s">
        <v>15</v>
      </c>
      <c r="G8" s="19" t="s">
        <v>16</v>
      </c>
      <c r="H8" s="20" t="s">
        <v>17</v>
      </c>
      <c r="I8" s="21" t="s">
        <v>18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3"/>
    </row>
    <row r="9" spans="1:33" s="24" customFormat="1" ht="41.7" customHeight="1" x14ac:dyDescent="0.55000000000000004">
      <c r="A9" s="25"/>
      <c r="B9" s="26"/>
      <c r="C9" s="27"/>
      <c r="D9" s="28"/>
      <c r="E9" s="27"/>
      <c r="F9" s="27"/>
      <c r="G9" s="29"/>
      <c r="H9" s="30"/>
      <c r="I9" s="31">
        <v>8</v>
      </c>
      <c r="J9" s="32">
        <f>I9+1</f>
        <v>9</v>
      </c>
      <c r="K9" s="32">
        <f t="shared" ref="K9:AC9" si="0">J9+1</f>
        <v>10</v>
      </c>
      <c r="L9" s="32">
        <f t="shared" si="0"/>
        <v>11</v>
      </c>
      <c r="M9" s="32">
        <f t="shared" si="0"/>
        <v>12</v>
      </c>
      <c r="N9" s="32">
        <f t="shared" si="0"/>
        <v>13</v>
      </c>
      <c r="O9" s="32">
        <f t="shared" si="0"/>
        <v>14</v>
      </c>
      <c r="P9" s="32">
        <f t="shared" si="0"/>
        <v>15</v>
      </c>
      <c r="Q9" s="32">
        <f>P9+1</f>
        <v>16</v>
      </c>
      <c r="R9" s="32">
        <f>Q9+1</f>
        <v>17</v>
      </c>
      <c r="S9" s="32">
        <f>R9+1</f>
        <v>18</v>
      </c>
      <c r="T9" s="32">
        <f>S9+1</f>
        <v>19</v>
      </c>
      <c r="U9" s="32">
        <f t="shared" si="0"/>
        <v>20</v>
      </c>
      <c r="V9" s="32">
        <f t="shared" si="0"/>
        <v>21</v>
      </c>
      <c r="W9" s="32">
        <f t="shared" si="0"/>
        <v>22</v>
      </c>
      <c r="X9" s="32">
        <f t="shared" si="0"/>
        <v>23</v>
      </c>
      <c r="Y9" s="32">
        <f t="shared" si="0"/>
        <v>24</v>
      </c>
      <c r="Z9" s="32">
        <f t="shared" si="0"/>
        <v>25</v>
      </c>
      <c r="AA9" s="32">
        <f t="shared" si="0"/>
        <v>26</v>
      </c>
      <c r="AB9" s="32">
        <f t="shared" si="0"/>
        <v>27</v>
      </c>
      <c r="AC9" s="33">
        <f t="shared" si="0"/>
        <v>28</v>
      </c>
    </row>
    <row r="10" spans="1:33" s="24" customFormat="1" ht="41.7" customHeight="1" thickBot="1" x14ac:dyDescent="0.6">
      <c r="A10" s="34"/>
      <c r="B10" s="35"/>
      <c r="C10" s="36"/>
      <c r="D10" s="37"/>
      <c r="E10" s="36"/>
      <c r="F10" s="36"/>
      <c r="G10" s="38"/>
      <c r="H10" s="39"/>
      <c r="I10" s="40" t="s">
        <v>19</v>
      </c>
      <c r="J10" s="40" t="s">
        <v>20</v>
      </c>
      <c r="K10" s="41" t="s">
        <v>21</v>
      </c>
      <c r="L10" s="41" t="s">
        <v>22</v>
      </c>
      <c r="M10" s="40" t="s">
        <v>23</v>
      </c>
      <c r="N10" s="42" t="s">
        <v>24</v>
      </c>
      <c r="O10" s="42" t="s">
        <v>25</v>
      </c>
      <c r="P10" s="40" t="s">
        <v>19</v>
      </c>
      <c r="Q10" s="40" t="s">
        <v>20</v>
      </c>
      <c r="R10" s="41" t="s">
        <v>21</v>
      </c>
      <c r="S10" s="41" t="s">
        <v>22</v>
      </c>
      <c r="T10" s="40" t="s">
        <v>23</v>
      </c>
      <c r="U10" s="42" t="s">
        <v>24</v>
      </c>
      <c r="V10" s="42" t="s">
        <v>25</v>
      </c>
      <c r="W10" s="40" t="s">
        <v>19</v>
      </c>
      <c r="X10" s="40" t="s">
        <v>20</v>
      </c>
      <c r="Y10" s="41" t="s">
        <v>21</v>
      </c>
      <c r="Z10" s="41" t="s">
        <v>22</v>
      </c>
      <c r="AA10" s="40" t="s">
        <v>23</v>
      </c>
      <c r="AB10" s="42" t="s">
        <v>24</v>
      </c>
      <c r="AC10" s="43" t="s">
        <v>25</v>
      </c>
    </row>
    <row r="11" spans="1:33" s="55" customFormat="1" ht="105.6" customHeight="1" thickTop="1" x14ac:dyDescent="0.55000000000000004">
      <c r="A11" s="44" t="s">
        <v>26</v>
      </c>
      <c r="B11" s="45" t="s">
        <v>27</v>
      </c>
      <c r="C11" s="46" t="s">
        <v>28</v>
      </c>
      <c r="D11" s="47">
        <f>3000*0.5*F11</f>
        <v>2160000</v>
      </c>
      <c r="E11" s="48" t="s">
        <v>47</v>
      </c>
      <c r="F11" s="49">
        <f>SUM(I11:AC11)</f>
        <v>1440</v>
      </c>
      <c r="G11" s="50">
        <f>250000/14400*(F11*10)</f>
        <v>250000</v>
      </c>
      <c r="H11" s="51" t="s">
        <v>30</v>
      </c>
      <c r="I11" s="52">
        <v>70</v>
      </c>
      <c r="J11" s="53">
        <f>I11</f>
        <v>70</v>
      </c>
      <c r="K11" s="53">
        <f t="shared" ref="K11:AC11" si="1">J11</f>
        <v>70</v>
      </c>
      <c r="L11" s="53">
        <f t="shared" si="1"/>
        <v>70</v>
      </c>
      <c r="M11" s="53">
        <f t="shared" si="1"/>
        <v>70</v>
      </c>
      <c r="N11" s="53">
        <f t="shared" si="1"/>
        <v>70</v>
      </c>
      <c r="O11" s="53">
        <v>68</v>
      </c>
      <c r="P11" s="53">
        <f t="shared" si="1"/>
        <v>68</v>
      </c>
      <c r="Q11" s="53">
        <f t="shared" si="1"/>
        <v>68</v>
      </c>
      <c r="R11" s="53">
        <f t="shared" si="1"/>
        <v>68</v>
      </c>
      <c r="S11" s="53">
        <f t="shared" si="1"/>
        <v>68</v>
      </c>
      <c r="T11" s="53">
        <f t="shared" si="1"/>
        <v>68</v>
      </c>
      <c r="U11" s="53">
        <f t="shared" si="1"/>
        <v>68</v>
      </c>
      <c r="V11" s="53">
        <f t="shared" si="1"/>
        <v>68</v>
      </c>
      <c r="W11" s="53">
        <f t="shared" si="1"/>
        <v>68</v>
      </c>
      <c r="X11" s="53">
        <f t="shared" si="1"/>
        <v>68</v>
      </c>
      <c r="Y11" s="53">
        <f t="shared" si="1"/>
        <v>68</v>
      </c>
      <c r="Z11" s="53">
        <f t="shared" si="1"/>
        <v>68</v>
      </c>
      <c r="AA11" s="53">
        <f t="shared" si="1"/>
        <v>68</v>
      </c>
      <c r="AB11" s="53">
        <f t="shared" si="1"/>
        <v>68</v>
      </c>
      <c r="AC11" s="54">
        <f t="shared" si="1"/>
        <v>68</v>
      </c>
    </row>
    <row r="12" spans="1:33" s="55" customFormat="1" ht="105.6" customHeight="1" x14ac:dyDescent="0.55000000000000004">
      <c r="A12" s="44"/>
      <c r="B12" s="45"/>
      <c r="C12" s="46"/>
      <c r="D12" s="47">
        <f>3000*0.5*F12</f>
        <v>324000</v>
      </c>
      <c r="E12" s="48"/>
      <c r="F12" s="56">
        <v>216</v>
      </c>
      <c r="G12" s="57" t="s">
        <v>31</v>
      </c>
      <c r="H12" s="51"/>
      <c r="I12" s="58" t="s">
        <v>48</v>
      </c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9"/>
    </row>
    <row r="13" spans="1:33" s="55" customFormat="1" ht="88.7" customHeight="1" x14ac:dyDescent="0.55000000000000004">
      <c r="A13" s="44"/>
      <c r="B13" s="60"/>
      <c r="C13" s="61"/>
      <c r="D13" s="62">
        <f>3000*0.5*F13</f>
        <v>993000</v>
      </c>
      <c r="E13" s="63"/>
      <c r="F13" s="64">
        <v>662</v>
      </c>
      <c r="G13" s="57" t="s">
        <v>31</v>
      </c>
      <c r="H13" s="65"/>
      <c r="I13" s="58" t="s">
        <v>49</v>
      </c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9"/>
    </row>
    <row r="14" spans="1:33" s="76" customFormat="1" ht="80.099999999999994" customHeight="1" thickBot="1" x14ac:dyDescent="0.6">
      <c r="A14" s="34"/>
      <c r="B14" s="66" t="s">
        <v>16</v>
      </c>
      <c r="C14" s="67"/>
      <c r="D14" s="68">
        <f>SUM(D11:D13)</f>
        <v>3477000</v>
      </c>
      <c r="E14" s="69"/>
      <c r="F14" s="70">
        <f>SUM(F11:F13)</f>
        <v>2318</v>
      </c>
      <c r="G14" s="71">
        <f>SUM(G11:G13)</f>
        <v>250000</v>
      </c>
      <c r="H14" s="72"/>
      <c r="I14" s="73">
        <f>SUM(I11)</f>
        <v>70</v>
      </c>
      <c r="J14" s="74">
        <f t="shared" ref="J14:AC14" si="2">SUM(J11:J13)</f>
        <v>70</v>
      </c>
      <c r="K14" s="74">
        <f t="shared" si="2"/>
        <v>70</v>
      </c>
      <c r="L14" s="74">
        <f t="shared" si="2"/>
        <v>70</v>
      </c>
      <c r="M14" s="74">
        <f t="shared" si="2"/>
        <v>70</v>
      </c>
      <c r="N14" s="74">
        <f t="shared" si="2"/>
        <v>70</v>
      </c>
      <c r="O14" s="74">
        <f t="shared" si="2"/>
        <v>68</v>
      </c>
      <c r="P14" s="74">
        <f t="shared" si="2"/>
        <v>68</v>
      </c>
      <c r="Q14" s="74">
        <f t="shared" si="2"/>
        <v>68</v>
      </c>
      <c r="R14" s="74">
        <f t="shared" si="2"/>
        <v>68</v>
      </c>
      <c r="S14" s="74">
        <f t="shared" si="2"/>
        <v>68</v>
      </c>
      <c r="T14" s="74">
        <f t="shared" si="2"/>
        <v>68</v>
      </c>
      <c r="U14" s="74">
        <f t="shared" si="2"/>
        <v>68</v>
      </c>
      <c r="V14" s="74">
        <f t="shared" si="2"/>
        <v>68</v>
      </c>
      <c r="W14" s="74">
        <f t="shared" si="2"/>
        <v>68</v>
      </c>
      <c r="X14" s="74">
        <f t="shared" si="2"/>
        <v>68</v>
      </c>
      <c r="Y14" s="74">
        <f t="shared" si="2"/>
        <v>68</v>
      </c>
      <c r="Z14" s="74">
        <f t="shared" si="2"/>
        <v>68</v>
      </c>
      <c r="AA14" s="74">
        <f t="shared" si="2"/>
        <v>68</v>
      </c>
      <c r="AB14" s="74">
        <f t="shared" si="2"/>
        <v>68</v>
      </c>
      <c r="AC14" s="75">
        <f t="shared" si="2"/>
        <v>68</v>
      </c>
      <c r="AG14" s="77" t="s">
        <v>33</v>
      </c>
    </row>
    <row r="15" spans="1:33" ht="60" customHeight="1" thickTop="1" x14ac:dyDescent="0.55000000000000004">
      <c r="A15" s="4"/>
      <c r="B15" s="4"/>
      <c r="C15" s="4"/>
      <c r="D15" s="7"/>
      <c r="E15" s="7"/>
      <c r="F15" s="5"/>
      <c r="G15" s="5"/>
      <c r="H15" s="5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G15" s="77" t="s">
        <v>34</v>
      </c>
    </row>
    <row r="16" spans="1:33" ht="60" customHeight="1" x14ac:dyDescent="0.55000000000000004">
      <c r="A16" s="4"/>
      <c r="B16" s="4"/>
      <c r="C16" s="4"/>
      <c r="D16" s="7"/>
      <c r="E16" s="7"/>
      <c r="F16" s="5"/>
      <c r="G16" s="5"/>
      <c r="H16" s="5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G16" s="81" t="s">
        <v>35</v>
      </c>
    </row>
    <row r="17" spans="1:33" ht="60" customHeight="1" x14ac:dyDescent="0.55000000000000004">
      <c r="A17" s="79"/>
      <c r="B17" s="4"/>
      <c r="C17" s="4"/>
      <c r="D17" s="82"/>
      <c r="E17" s="82"/>
      <c r="F17" s="83" t="s">
        <v>36</v>
      </c>
      <c r="G17" s="84">
        <f>G11</f>
        <v>250000</v>
      </c>
      <c r="H17" s="85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G17" s="77" t="s">
        <v>37</v>
      </c>
    </row>
    <row r="18" spans="1:33" ht="60" customHeight="1" x14ac:dyDescent="0.55000000000000004">
      <c r="A18" s="79"/>
      <c r="B18" s="4"/>
      <c r="C18" s="4"/>
      <c r="D18" s="82"/>
      <c r="E18" s="82"/>
      <c r="F18" s="87" t="s">
        <v>38</v>
      </c>
      <c r="G18" s="88">
        <f>G17*0.03</f>
        <v>7500</v>
      </c>
      <c r="H18" s="85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G18" s="77" t="s">
        <v>39</v>
      </c>
    </row>
    <row r="19" spans="1:33" ht="60" customHeight="1" x14ac:dyDescent="0.55000000000000004">
      <c r="A19" s="79"/>
      <c r="B19" s="4"/>
      <c r="C19" s="4"/>
      <c r="D19" s="82"/>
      <c r="E19" s="82"/>
      <c r="F19" s="87" t="s">
        <v>40</v>
      </c>
      <c r="G19" s="88">
        <f>SUM(G17:G18)*0.05</f>
        <v>12875</v>
      </c>
      <c r="H19" s="85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</row>
    <row r="20" spans="1:33" ht="60" customHeight="1" x14ac:dyDescent="0.55000000000000004">
      <c r="A20" s="79"/>
      <c r="B20" s="4"/>
      <c r="C20" s="4"/>
      <c r="D20" s="82"/>
      <c r="E20" s="82"/>
      <c r="F20" s="87" t="s">
        <v>41</v>
      </c>
      <c r="G20" s="90">
        <f>SUM(G17:G19)</f>
        <v>270375</v>
      </c>
      <c r="H20" s="85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</row>
    <row r="21" spans="1:33" ht="55.7" customHeight="1" x14ac:dyDescent="0.55000000000000004">
      <c r="A21" s="3" t="s">
        <v>42</v>
      </c>
      <c r="B21" s="4"/>
      <c r="C21" s="4"/>
      <c r="D21" s="4"/>
      <c r="E21" s="4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33" ht="55.7" customHeight="1" x14ac:dyDescent="0.55000000000000004">
      <c r="A22" s="3" t="s">
        <v>43</v>
      </c>
      <c r="B22" s="24"/>
      <c r="C22" s="24"/>
      <c r="D22" s="24"/>
      <c r="E22" s="24"/>
      <c r="F22" s="91"/>
      <c r="G22" s="91"/>
      <c r="H22" s="91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</row>
    <row r="23" spans="1:33" ht="55.7" customHeight="1" x14ac:dyDescent="0.55000000000000004">
      <c r="A23" s="3" t="s">
        <v>44</v>
      </c>
      <c r="B23" s="93"/>
      <c r="C23" s="24"/>
      <c r="D23" s="24"/>
      <c r="E23" s="24"/>
      <c r="F23" s="91"/>
      <c r="G23" s="91"/>
      <c r="H23" s="91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</row>
    <row r="24" spans="1:33" ht="55.7" customHeight="1" x14ac:dyDescent="0.55000000000000004">
      <c r="A24" s="3" t="s">
        <v>45</v>
      </c>
      <c r="B24" s="94"/>
      <c r="C24" s="24"/>
      <c r="D24" s="24"/>
      <c r="E24" s="24"/>
      <c r="F24" s="91"/>
      <c r="G24" s="91"/>
      <c r="H24" s="91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</row>
    <row r="25" spans="1:33" ht="55.7" customHeight="1" x14ac:dyDescent="0.55000000000000004">
      <c r="A25" s="24"/>
      <c r="B25" s="24"/>
      <c r="C25" s="24"/>
      <c r="D25" s="24"/>
      <c r="E25" s="24"/>
      <c r="F25" s="91"/>
      <c r="G25" s="91"/>
      <c r="H25" s="91"/>
      <c r="I25" s="95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</row>
    <row r="26" spans="1:33" ht="55.7" customHeight="1" x14ac:dyDescent="0.55000000000000004">
      <c r="A26" s="24"/>
      <c r="B26" s="93"/>
      <c r="C26" s="24"/>
      <c r="D26" s="24"/>
      <c r="E26" s="24"/>
      <c r="F26" s="91"/>
      <c r="G26" s="91"/>
      <c r="H26" s="91"/>
      <c r="I26" s="95"/>
      <c r="J26" s="77"/>
      <c r="K26" s="77"/>
      <c r="L26" s="77"/>
      <c r="M26" s="77"/>
      <c r="N26" s="77"/>
      <c r="O26" s="77"/>
      <c r="P26" s="77"/>
      <c r="Q26" s="77"/>
      <c r="R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</row>
    <row r="27" spans="1:33" ht="27.7" x14ac:dyDescent="0.55000000000000004">
      <c r="A27" s="24"/>
      <c r="B27" s="94"/>
      <c r="C27" s="24"/>
      <c r="D27" s="24"/>
      <c r="E27" s="24"/>
      <c r="F27" s="91"/>
      <c r="G27" s="91"/>
      <c r="H27" s="91"/>
      <c r="I27" s="77"/>
      <c r="J27" s="77"/>
      <c r="K27" s="77"/>
      <c r="L27" s="77"/>
      <c r="M27" s="77"/>
      <c r="N27" s="77"/>
      <c r="O27" s="77"/>
      <c r="P27" s="77"/>
      <c r="Q27" s="77"/>
      <c r="R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</row>
    <row r="28" spans="1:33" ht="25.7" x14ac:dyDescent="0.55000000000000004">
      <c r="F28" s="91"/>
      <c r="G28" s="91"/>
      <c r="H28" s="91"/>
    </row>
  </sheetData>
  <mergeCells count="21">
    <mergeCell ref="I12:AC12"/>
    <mergeCell ref="I13:AC13"/>
    <mergeCell ref="B14:C14"/>
    <mergeCell ref="I15:Z15"/>
    <mergeCell ref="AA15:AC15"/>
    <mergeCell ref="I17:Z17"/>
    <mergeCell ref="AA17:AC17"/>
    <mergeCell ref="H8:H10"/>
    <mergeCell ref="A11:A14"/>
    <mergeCell ref="B11:B13"/>
    <mergeCell ref="C11:C13"/>
    <mergeCell ref="E11:E13"/>
    <mergeCell ref="H11:H13"/>
    <mergeCell ref="D7:G7"/>
    <mergeCell ref="A8:A10"/>
    <mergeCell ref="B8:B10"/>
    <mergeCell ref="C8:C10"/>
    <mergeCell ref="D8:D10"/>
    <mergeCell ref="E8:E10"/>
    <mergeCell ref="F8:F10"/>
    <mergeCell ref="G8:G10"/>
  </mergeCells>
  <phoneticPr fontId="4" type="noConversion"/>
  <pageMargins left="0.31496062992125984" right="0.31496062992125984" top="0.74803149606299213" bottom="0.74803149606299213" header="0.31496062992125984" footer="0.31496062992125984"/>
  <pageSetup paperSize="9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4</vt:i4>
      </vt:variant>
    </vt:vector>
  </HeadingPairs>
  <TitlesOfParts>
    <vt:vector size="8" baseType="lpstr">
      <vt:lpstr>全家 30秒</vt:lpstr>
      <vt:lpstr>全家 20秒</vt:lpstr>
      <vt:lpstr>全家 15秒 </vt:lpstr>
      <vt:lpstr>全家 10秒</vt:lpstr>
      <vt:lpstr>'全家 10秒'!Print_Area</vt:lpstr>
      <vt:lpstr>'全家 15秒 '!Print_Area</vt:lpstr>
      <vt:lpstr>'全家 20秒'!Print_Area</vt:lpstr>
      <vt:lpstr>'全家 30秒'!Print_Area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宜歆</dc:creator>
  <cp:lastModifiedBy>蔡 宜歆</cp:lastModifiedBy>
  <dcterms:created xsi:type="dcterms:W3CDTF">2026-09-02T08:13:20Z</dcterms:created>
  <dcterms:modified xsi:type="dcterms:W3CDTF">2026-09-02T08:34:30Z</dcterms:modified>
</cp:coreProperties>
</file>