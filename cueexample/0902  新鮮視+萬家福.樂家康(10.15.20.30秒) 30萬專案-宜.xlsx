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e表模版\"/>
    </mc:Choice>
  </mc:AlternateContent>
  <xr:revisionPtr revIDLastSave="0" documentId="13_ncr:1_{FBAE8856-DCE3-4435-9225-0C4313B132A1}" xr6:coauthVersionLast="47" xr6:coauthVersionMax="47" xr10:uidLastSave="{00000000-0000-0000-0000-000000000000}"/>
  <bookViews>
    <workbookView xWindow="-93" yWindow="-93" windowWidth="25786" windowHeight="13866" xr2:uid="{917EC74D-08D0-400E-AACA-1F5EE105B0A9}"/>
  </bookViews>
  <sheets>
    <sheet name="30萬版-30秒版" sheetId="6" r:id="rId1"/>
    <sheet name="30萬版-20秒版" sheetId="1" r:id="rId2"/>
    <sheet name="30萬版-15秒版" sheetId="5" r:id="rId3"/>
    <sheet name="30萬版-10秒版 " sheetId="4" r:id="rId4"/>
  </sheets>
  <externalReferences>
    <externalReference r:id="rId5"/>
  </externalReferences>
  <definedNames>
    <definedName name="_">#REF!</definedName>
    <definedName name="_1_Fill_1">#REF!</definedName>
    <definedName name="_10_Fill_5">#REF!</definedName>
    <definedName name="_10Excel_BuiltIn_Criteria_1">#REF!</definedName>
    <definedName name="_12_Fill_6">#REF!</definedName>
    <definedName name="_12Excel_BuiltIn_Criteria_2">#REF!</definedName>
    <definedName name="_14Excel_BuiltIn_Criteria_1">#REF!</definedName>
    <definedName name="_15Excel_BuiltIn_Criteria_1_1">#REF!</definedName>
    <definedName name="_15Excel_BuiltIn_Criteria_3">#REF!</definedName>
    <definedName name="_16Excel_BuiltIn_Criteria_10">#REF!</definedName>
    <definedName name="_18Excel_BuiltIn_Criteria_11">#REF!</definedName>
    <definedName name="_2_Fill_1">#REF!</definedName>
    <definedName name="_20Excel_BuiltIn_Criteria_12">#REF!</definedName>
    <definedName name="_22Excel_BuiltIn_Criteria_13">#REF!</definedName>
    <definedName name="_24Excel_BuiltIn_Criteria_2">#REF!</definedName>
    <definedName name="_26Excel_BuiltIn_Criteria_3">#REF!</definedName>
    <definedName name="_28Excel_BuiltIn_Criteria_4">#REF!</definedName>
    <definedName name="_2Excel_BuiltIn_Criteria_1">#REF!</definedName>
    <definedName name="_3_Fill_1">#REF!</definedName>
    <definedName name="_30Excel_BuiltIn_Criteria_5">#REF!</definedName>
    <definedName name="_32Excel_BuiltIn_Criteria_6">#REF!</definedName>
    <definedName name="_34Excel_BuiltIn_Criteria_7">#REF!</definedName>
    <definedName name="_36Excel_BuiltIn_Criteria_8">#REF!</definedName>
    <definedName name="_38Excel_BuiltIn_Criteria_9">#REF!</definedName>
    <definedName name="_4_Fill_2">#REF!</definedName>
    <definedName name="_4Excel_BuiltIn_Criteria_1">#REF!</definedName>
    <definedName name="_5_Fill_1">#REF!</definedName>
    <definedName name="_6_Fill_1_1">#REF!</definedName>
    <definedName name="_6_Fill_2">#REF!</definedName>
    <definedName name="_6_Fill_3">#REF!</definedName>
    <definedName name="_8_Fill_4">#REF!</definedName>
    <definedName name="_9Excel_BuiltIn_Criteria_1">#REF!</definedName>
    <definedName name="_Fill">#REF!</definedName>
    <definedName name="_Fill_1">#REF!</definedName>
    <definedName name="_Fill_2">#REF!</definedName>
    <definedName name="_xlnm._FilterDatabase" localSheetId="3" hidden="1">'30萬版-10秒版 '!$A$8:$V$29</definedName>
    <definedName name="_xlnm._FilterDatabase" localSheetId="2" hidden="1">'30萬版-15秒版'!$A$8:$V$29</definedName>
    <definedName name="_xlnm._FilterDatabase" localSheetId="1" hidden="1">'30萬版-20秒版'!$A$8:$V$29</definedName>
    <definedName name="_xlnm._FilterDatabase" localSheetId="0" hidden="1">'30萬版-30秒版'!$A$8:$V$29</definedName>
    <definedName name="aaaa">#REF!</definedName>
    <definedName name="_xlnm.Criteria">#REF!</definedName>
    <definedName name="Excel_BuiltIn__FilterDatabase">'[1]3月'!#REF!</definedName>
    <definedName name="Excel_BuiltIn_Criteria">#REF!</definedName>
    <definedName name="Excel_BuiltIn_Criteria_1">#REF!</definedName>
    <definedName name="Excel_BuiltIn_Criteria_2">#REF!</definedName>
    <definedName name="Excel_BuiltIn_Criteria_3">#REF!</definedName>
    <definedName name="Excel_BuiltIn_Criteria_4">#REF!</definedName>
    <definedName name="GG">#REF!</definedName>
    <definedName name="_xlnm.Print_Area" localSheetId="3">'30萬版-10秒版 '!$A$1:$V$31</definedName>
    <definedName name="_xlnm.Print_Area" localSheetId="2">'30萬版-15秒版'!$A$1:$V$31</definedName>
    <definedName name="_xlnm.Print_Area" localSheetId="1">'30萬版-20秒版'!$A$1:$V$31</definedName>
    <definedName name="_xlnm.Print_Area" localSheetId="0">'30萬版-30秒版'!$A$1:$V$31</definedName>
    <definedName name="_xlnm.Print_Titles" localSheetId="3">'30萬版-10秒版 '!$6:$8</definedName>
    <definedName name="_xlnm.Print_Titles" localSheetId="2">'30萬版-15秒版'!$6:$8</definedName>
    <definedName name="_xlnm.Print_Titles" localSheetId="1">'30萬版-20秒版'!$6:$8</definedName>
    <definedName name="_xlnm.Print_Titles" localSheetId="0">'30萬版-30秒版'!$6:$8</definedName>
    <definedName name="s">#REF!</definedName>
    <definedName name="我">#REF!</definedName>
    <definedName name="修">#REF!</definedName>
    <definedName name="修改2">#REF!</definedName>
    <definedName name="爆波執行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4" l="1"/>
  <c r="M11" i="5"/>
  <c r="L29" i="6" l="1"/>
  <c r="G17" i="6"/>
  <c r="H16" i="6"/>
  <c r="H14" i="6"/>
  <c r="H13" i="6"/>
  <c r="H12" i="6"/>
  <c r="I11" i="6"/>
  <c r="J11" i="6" s="1"/>
  <c r="E11" i="6"/>
  <c r="I10" i="6"/>
  <c r="K10" i="6" s="1"/>
  <c r="I9" i="6"/>
  <c r="J9" i="6" s="1"/>
  <c r="E9" i="6"/>
  <c r="I7" i="6"/>
  <c r="J7" i="6" s="1"/>
  <c r="K7" i="6" s="1"/>
  <c r="L7" i="6" s="1"/>
  <c r="M7" i="6" s="1"/>
  <c r="N7" i="6" s="1"/>
  <c r="O7" i="6" s="1"/>
  <c r="P7" i="6" s="1"/>
  <c r="L29" i="5"/>
  <c r="G17" i="5"/>
  <c r="H16" i="5"/>
  <c r="H14" i="5"/>
  <c r="H13" i="5"/>
  <c r="H12" i="5"/>
  <c r="H15" i="5" s="1"/>
  <c r="I11" i="5"/>
  <c r="J11" i="5" s="1"/>
  <c r="E11" i="5"/>
  <c r="I10" i="5"/>
  <c r="J10" i="5" s="1"/>
  <c r="I9" i="5"/>
  <c r="E9" i="5"/>
  <c r="I7" i="5"/>
  <c r="J7" i="5" s="1"/>
  <c r="K7" i="5" s="1"/>
  <c r="L7" i="5" s="1"/>
  <c r="M7" i="5" s="1"/>
  <c r="N7" i="5" s="1"/>
  <c r="O7" i="5" s="1"/>
  <c r="P7" i="5" s="1"/>
  <c r="E11" i="4"/>
  <c r="E9" i="4"/>
  <c r="L29" i="4"/>
  <c r="G17" i="4"/>
  <c r="G19" i="4" s="1"/>
  <c r="G20" i="4" s="1"/>
  <c r="H16" i="4"/>
  <c r="H14" i="4"/>
  <c r="H13" i="4"/>
  <c r="H12" i="4"/>
  <c r="H15" i="4" s="1"/>
  <c r="I11" i="4"/>
  <c r="I16" i="4" s="1"/>
  <c r="I10" i="4"/>
  <c r="I9" i="4"/>
  <c r="I7" i="4"/>
  <c r="J7" i="4" s="1"/>
  <c r="K7" i="4" s="1"/>
  <c r="L7" i="4" s="1"/>
  <c r="M7" i="4" s="1"/>
  <c r="N7" i="4" s="1"/>
  <c r="O7" i="4" s="1"/>
  <c r="P7" i="4" s="1"/>
  <c r="I10" i="1"/>
  <c r="H14" i="1"/>
  <c r="L10" i="6" l="1"/>
  <c r="M10" i="6" s="1"/>
  <c r="N10" i="6" s="1"/>
  <c r="O10" i="6" s="1"/>
  <c r="P10" i="6" s="1"/>
  <c r="Q10" i="6" s="1"/>
  <c r="R10" i="6" s="1"/>
  <c r="S10" i="6" s="1"/>
  <c r="T10" i="6" s="1"/>
  <c r="U10" i="6" s="1"/>
  <c r="I16" i="5"/>
  <c r="J10" i="1"/>
  <c r="K10" i="1" s="1"/>
  <c r="L10" i="1" s="1"/>
  <c r="M10" i="1" s="1"/>
  <c r="N10" i="1" s="1"/>
  <c r="O10" i="1" s="1"/>
  <c r="P10" i="1" s="1"/>
  <c r="I12" i="6"/>
  <c r="I15" i="6" s="1"/>
  <c r="I13" i="6"/>
  <c r="K9" i="6"/>
  <c r="J16" i="6"/>
  <c r="J13" i="6"/>
  <c r="J12" i="6"/>
  <c r="J15" i="6" s="1"/>
  <c r="J14" i="6"/>
  <c r="K11" i="6"/>
  <c r="I14" i="6"/>
  <c r="H15" i="6"/>
  <c r="H17" i="6" s="1"/>
  <c r="I16" i="6"/>
  <c r="G19" i="6"/>
  <c r="G20" i="6" s="1"/>
  <c r="I13" i="5"/>
  <c r="I14" i="5"/>
  <c r="K10" i="5"/>
  <c r="L10" i="5" s="1"/>
  <c r="M10" i="5" s="1"/>
  <c r="O10" i="5" s="1"/>
  <c r="P10" i="5" s="1"/>
  <c r="J12" i="5"/>
  <c r="J15" i="5" s="1"/>
  <c r="J14" i="5"/>
  <c r="K11" i="5"/>
  <c r="J16" i="5"/>
  <c r="J13" i="5"/>
  <c r="G19" i="5"/>
  <c r="G20" i="5" s="1"/>
  <c r="J9" i="5"/>
  <c r="H17" i="5"/>
  <c r="I12" i="5"/>
  <c r="H17" i="4"/>
  <c r="J9" i="4"/>
  <c r="J11" i="4"/>
  <c r="I12" i="4"/>
  <c r="J10" i="4"/>
  <c r="K10" i="4" s="1"/>
  <c r="L10" i="4" s="1"/>
  <c r="M10" i="4" s="1"/>
  <c r="N10" i="4" s="1"/>
  <c r="O10" i="4" s="1"/>
  <c r="P10" i="4" s="1"/>
  <c r="Q10" i="4" s="1"/>
  <c r="I13" i="4"/>
  <c r="I14" i="4"/>
  <c r="L29" i="1"/>
  <c r="G17" i="1"/>
  <c r="G19" i="1" s="1"/>
  <c r="H16" i="1"/>
  <c r="H13" i="1"/>
  <c r="H12" i="1"/>
  <c r="H15" i="1" s="1"/>
  <c r="I11" i="1"/>
  <c r="I7" i="1"/>
  <c r="J7" i="1" s="1"/>
  <c r="K7" i="1" s="1"/>
  <c r="L7" i="1" s="1"/>
  <c r="M7" i="1" s="1"/>
  <c r="N7" i="1" s="1"/>
  <c r="O7" i="1" s="1"/>
  <c r="P7" i="1" s="1"/>
  <c r="T10" i="4" l="1"/>
  <c r="Q10" i="1"/>
  <c r="R10" i="1" s="1"/>
  <c r="S10" i="1"/>
  <c r="T10" i="1" s="1"/>
  <c r="U10" i="1" s="1"/>
  <c r="L9" i="6"/>
  <c r="K16" i="6"/>
  <c r="K14" i="6"/>
  <c r="K13" i="6"/>
  <c r="K12" i="6"/>
  <c r="L11" i="6"/>
  <c r="V10" i="6"/>
  <c r="I17" i="6"/>
  <c r="J17" i="6"/>
  <c r="J17" i="5"/>
  <c r="K9" i="5"/>
  <c r="K14" i="5"/>
  <c r="K16" i="5"/>
  <c r="K13" i="5"/>
  <c r="K12" i="5"/>
  <c r="K15" i="5" s="1"/>
  <c r="I15" i="5"/>
  <c r="Q10" i="5"/>
  <c r="R10" i="5" s="1"/>
  <c r="S10" i="5" s="1"/>
  <c r="T10" i="5" s="1"/>
  <c r="U10" i="5" s="1"/>
  <c r="J16" i="4"/>
  <c r="J14" i="4"/>
  <c r="J13" i="4"/>
  <c r="J12" i="4"/>
  <c r="J15" i="4" s="1"/>
  <c r="K11" i="4"/>
  <c r="I15" i="4"/>
  <c r="K9" i="4"/>
  <c r="I13" i="1"/>
  <c r="I14" i="1"/>
  <c r="I9" i="1"/>
  <c r="J9" i="1" s="1"/>
  <c r="H17" i="1"/>
  <c r="J11" i="1"/>
  <c r="I12" i="1"/>
  <c r="I15" i="1" s="1"/>
  <c r="I16" i="1"/>
  <c r="G20" i="1"/>
  <c r="K15" i="6" l="1"/>
  <c r="L12" i="6"/>
  <c r="L15" i="6" s="1"/>
  <c r="L16" i="6"/>
  <c r="L14" i="6"/>
  <c r="L13" i="6"/>
  <c r="M11" i="6"/>
  <c r="Z10" i="6"/>
  <c r="Y10" i="6"/>
  <c r="M9" i="6"/>
  <c r="V10" i="5"/>
  <c r="L13" i="5"/>
  <c r="L12" i="5"/>
  <c r="L16" i="5"/>
  <c r="L14" i="5"/>
  <c r="K17" i="5"/>
  <c r="L9" i="5"/>
  <c r="I17" i="5"/>
  <c r="J17" i="4"/>
  <c r="U10" i="4"/>
  <c r="L9" i="4"/>
  <c r="I17" i="4"/>
  <c r="K14" i="4"/>
  <c r="K13" i="4"/>
  <c r="K16" i="4"/>
  <c r="K12" i="4"/>
  <c r="K15" i="4" s="1"/>
  <c r="L11" i="4"/>
  <c r="J13" i="1"/>
  <c r="J14" i="1"/>
  <c r="J12" i="1"/>
  <c r="J15" i="1" s="1"/>
  <c r="J16" i="1"/>
  <c r="K11" i="1"/>
  <c r="N9" i="6" l="1"/>
  <c r="L17" i="6"/>
  <c r="K17" i="6"/>
  <c r="M16" i="6"/>
  <c r="M14" i="6"/>
  <c r="M13" i="6"/>
  <c r="M12" i="6"/>
  <c r="M15" i="6" s="1"/>
  <c r="N11" i="6"/>
  <c r="O11" i="6" s="1"/>
  <c r="P11" i="6" s="1"/>
  <c r="M13" i="5"/>
  <c r="M12" i="5"/>
  <c r="M15" i="5" s="1"/>
  <c r="M16" i="5"/>
  <c r="M14" i="5"/>
  <c r="N11" i="5"/>
  <c r="O11" i="5" s="1"/>
  <c r="Z10" i="5"/>
  <c r="Y10" i="5"/>
  <c r="M9" i="5"/>
  <c r="L15" i="5"/>
  <c r="L14" i="4"/>
  <c r="L16" i="4"/>
  <c r="L13" i="4"/>
  <c r="L12" i="4"/>
  <c r="L15" i="4" s="1"/>
  <c r="M11" i="4"/>
  <c r="M9" i="4"/>
  <c r="K17" i="4"/>
  <c r="V10" i="4"/>
  <c r="L11" i="1"/>
  <c r="K14" i="1"/>
  <c r="I17" i="1"/>
  <c r="K9" i="1"/>
  <c r="K16" i="1"/>
  <c r="K13" i="1"/>
  <c r="K12" i="1"/>
  <c r="K15" i="1" s="1"/>
  <c r="N16" i="6" l="1"/>
  <c r="N14" i="6"/>
  <c r="N13" i="6"/>
  <c r="N12" i="6"/>
  <c r="M17" i="6"/>
  <c r="O9" i="6"/>
  <c r="L17" i="5"/>
  <c r="M17" i="5"/>
  <c r="N9" i="5"/>
  <c r="N12" i="5"/>
  <c r="N16" i="5"/>
  <c r="N13" i="5"/>
  <c r="N14" i="5"/>
  <c r="L17" i="4"/>
  <c r="Y10" i="4"/>
  <c r="Z10" i="4"/>
  <c r="M12" i="4"/>
  <c r="M14" i="4"/>
  <c r="M13" i="4"/>
  <c r="N11" i="4"/>
  <c r="O11" i="4" s="1"/>
  <c r="M16" i="4"/>
  <c r="N9" i="4"/>
  <c r="O9" i="4" s="1"/>
  <c r="P9" i="4" s="1"/>
  <c r="L14" i="1"/>
  <c r="L16" i="1"/>
  <c r="L13" i="1"/>
  <c r="M11" i="1"/>
  <c r="M14" i="1" s="1"/>
  <c r="L12" i="1"/>
  <c r="L15" i="1" s="1"/>
  <c r="J17" i="1"/>
  <c r="L9" i="1"/>
  <c r="N15" i="6" l="1"/>
  <c r="N17" i="6" s="1"/>
  <c r="P9" i="6"/>
  <c r="O16" i="6"/>
  <c r="O14" i="6"/>
  <c r="O13" i="6"/>
  <c r="O12" i="6"/>
  <c r="O15" i="6" s="1"/>
  <c r="N15" i="5"/>
  <c r="N17" i="5" s="1"/>
  <c r="O16" i="5"/>
  <c r="O12" i="5"/>
  <c r="O15" i="5" s="1"/>
  <c r="O14" i="5"/>
  <c r="O13" i="5"/>
  <c r="P11" i="5"/>
  <c r="O9" i="5"/>
  <c r="Q9" i="4"/>
  <c r="R9" i="4" s="1"/>
  <c r="S9" i="4"/>
  <c r="T9" i="4" s="1"/>
  <c r="U9" i="4" s="1"/>
  <c r="M15" i="4"/>
  <c r="M17" i="4" s="1"/>
  <c r="N16" i="4"/>
  <c r="N14" i="4"/>
  <c r="N12" i="4"/>
  <c r="N15" i="4" s="1"/>
  <c r="N13" i="4"/>
  <c r="M16" i="1"/>
  <c r="M13" i="1"/>
  <c r="M12" i="1"/>
  <c r="M15" i="1" s="1"/>
  <c r="N11" i="1"/>
  <c r="K17" i="1"/>
  <c r="M9" i="1"/>
  <c r="O14" i="1" l="1"/>
  <c r="P11" i="1"/>
  <c r="Q11" i="1" s="1"/>
  <c r="O17" i="6"/>
  <c r="Q9" i="6"/>
  <c r="S9" i="6"/>
  <c r="P14" i="6"/>
  <c r="P13" i="6"/>
  <c r="P12" i="6"/>
  <c r="P15" i="6" s="1"/>
  <c r="Q11" i="6"/>
  <c r="R11" i="6" s="1"/>
  <c r="P16" i="6"/>
  <c r="O17" i="5"/>
  <c r="P9" i="5"/>
  <c r="P13" i="5"/>
  <c r="Q11" i="5"/>
  <c r="P16" i="5"/>
  <c r="P14" i="5"/>
  <c r="P12" i="5"/>
  <c r="P15" i="5" s="1"/>
  <c r="N17" i="4"/>
  <c r="V9" i="4"/>
  <c r="W9" i="4" s="1"/>
  <c r="O16" i="4"/>
  <c r="O12" i="4"/>
  <c r="O15" i="4" s="1"/>
  <c r="O13" i="4"/>
  <c r="P11" i="4"/>
  <c r="O14" i="4"/>
  <c r="N13" i="1"/>
  <c r="N16" i="1"/>
  <c r="N9" i="1"/>
  <c r="O9" i="1" s="1"/>
  <c r="P9" i="1" s="1"/>
  <c r="N14" i="1"/>
  <c r="N12" i="1"/>
  <c r="N15" i="1" s="1"/>
  <c r="L17" i="1"/>
  <c r="O16" i="1"/>
  <c r="O13" i="1"/>
  <c r="O12" i="1"/>
  <c r="O15" i="1" s="1"/>
  <c r="Z9" i="4" l="1"/>
  <c r="Z20" i="4" s="1"/>
  <c r="R11" i="1"/>
  <c r="Q14" i="1"/>
  <c r="Q12" i="1"/>
  <c r="Q13" i="1"/>
  <c r="Q16" i="1"/>
  <c r="Q15" i="1"/>
  <c r="P14" i="1"/>
  <c r="Q15" i="6"/>
  <c r="Q14" i="6"/>
  <c r="Q13" i="6"/>
  <c r="Q12" i="6"/>
  <c r="Q16" i="6"/>
  <c r="P17" i="6"/>
  <c r="T9" i="6"/>
  <c r="R9" i="6"/>
  <c r="Q15" i="5"/>
  <c r="Q14" i="5"/>
  <c r="Q16" i="5"/>
  <c r="Q13" i="5"/>
  <c r="Q12" i="5"/>
  <c r="R11" i="5"/>
  <c r="P17" i="5"/>
  <c r="S9" i="5"/>
  <c r="Q9" i="5"/>
  <c r="O17" i="4"/>
  <c r="F9" i="4"/>
  <c r="Y9" i="4"/>
  <c r="Y20" i="4" s="1"/>
  <c r="P13" i="4"/>
  <c r="P12" i="4"/>
  <c r="P15" i="4" s="1"/>
  <c r="Q11" i="4"/>
  <c r="P14" i="4"/>
  <c r="P16" i="4"/>
  <c r="N17" i="1"/>
  <c r="M17" i="1"/>
  <c r="O17" i="1"/>
  <c r="Q9" i="1"/>
  <c r="P16" i="1"/>
  <c r="P13" i="1"/>
  <c r="P12" i="1"/>
  <c r="P15" i="1" s="1"/>
  <c r="P17" i="4" l="1"/>
  <c r="R15" i="1"/>
  <c r="S11" i="1"/>
  <c r="S14" i="1" s="1"/>
  <c r="R14" i="1"/>
  <c r="R12" i="1"/>
  <c r="R16" i="1"/>
  <c r="R13" i="1"/>
  <c r="Q17" i="6"/>
  <c r="U9" i="6"/>
  <c r="R14" i="6"/>
  <c r="R13" i="6"/>
  <c r="R12" i="6"/>
  <c r="S11" i="6"/>
  <c r="R16" i="6"/>
  <c r="R15" i="6"/>
  <c r="Q17" i="5"/>
  <c r="R9" i="5"/>
  <c r="T9" i="5"/>
  <c r="R16" i="5"/>
  <c r="R14" i="5"/>
  <c r="S11" i="5"/>
  <c r="R15" i="5"/>
  <c r="R13" i="5"/>
  <c r="R12" i="5"/>
  <c r="Q12" i="4"/>
  <c r="R11" i="4"/>
  <c r="Q13" i="4"/>
  <c r="Q15" i="4"/>
  <c r="Q16" i="4"/>
  <c r="Q14" i="4"/>
  <c r="R9" i="1"/>
  <c r="Q17" i="1"/>
  <c r="S9" i="1"/>
  <c r="S16" i="1" l="1"/>
  <c r="T11" i="1"/>
  <c r="T14" i="1" s="1"/>
  <c r="S12" i="1"/>
  <c r="S15" i="1" s="1"/>
  <c r="Q17" i="4"/>
  <c r="S13" i="1"/>
  <c r="R17" i="1"/>
  <c r="R17" i="6"/>
  <c r="S14" i="6"/>
  <c r="S13" i="6"/>
  <c r="S12" i="6"/>
  <c r="S15" i="6" s="1"/>
  <c r="T11" i="6"/>
  <c r="S16" i="6"/>
  <c r="V9" i="6"/>
  <c r="U9" i="5"/>
  <c r="R17" i="5"/>
  <c r="V9" i="5"/>
  <c r="W9" i="5" s="1"/>
  <c r="S14" i="5"/>
  <c r="S13" i="5"/>
  <c r="S16" i="5"/>
  <c r="S12" i="5"/>
  <c r="S15" i="5" s="1"/>
  <c r="T11" i="5"/>
  <c r="R14" i="4"/>
  <c r="R12" i="4"/>
  <c r="S11" i="4"/>
  <c r="R16" i="4"/>
  <c r="R13" i="4"/>
  <c r="R15" i="4"/>
  <c r="T9" i="1"/>
  <c r="P17" i="1"/>
  <c r="T12" i="1" l="1"/>
  <c r="T15" i="1" s="1"/>
  <c r="U11" i="1"/>
  <c r="U16" i="1" s="1"/>
  <c r="T16" i="1"/>
  <c r="T13" i="1"/>
  <c r="R17" i="4"/>
  <c r="S17" i="6"/>
  <c r="Z9" i="6"/>
  <c r="Z20" i="6" s="1"/>
  <c r="Y9" i="6"/>
  <c r="Y20" i="6" s="1"/>
  <c r="F9" i="6"/>
  <c r="W9" i="6"/>
  <c r="T13" i="6"/>
  <c r="T12" i="6"/>
  <c r="T15" i="6" s="1"/>
  <c r="U11" i="6"/>
  <c r="T16" i="6"/>
  <c r="T14" i="6"/>
  <c r="T13" i="5"/>
  <c r="U11" i="5"/>
  <c r="T14" i="5"/>
  <c r="T12" i="5"/>
  <c r="T15" i="5" s="1"/>
  <c r="T16" i="5"/>
  <c r="Y9" i="5"/>
  <c r="Y20" i="5" s="1"/>
  <c r="Z9" i="5"/>
  <c r="Z20" i="5" s="1"/>
  <c r="F9" i="5"/>
  <c r="S17" i="5"/>
  <c r="S13" i="4"/>
  <c r="S12" i="4"/>
  <c r="S15" i="4" s="1"/>
  <c r="T11" i="4"/>
  <c r="S16" i="4"/>
  <c r="S14" i="4"/>
  <c r="V11" i="1"/>
  <c r="S17" i="1"/>
  <c r="U9" i="1"/>
  <c r="V9" i="1" s="1"/>
  <c r="F9" i="1" s="1"/>
  <c r="U14" i="1" l="1"/>
  <c r="V14" i="1" s="1"/>
  <c r="F14" i="1" s="1"/>
  <c r="U12" i="1"/>
  <c r="U15" i="1" s="1"/>
  <c r="V15" i="1" s="1"/>
  <c r="U13" i="1"/>
  <c r="T17" i="5"/>
  <c r="W11" i="1"/>
  <c r="F12" i="1"/>
  <c r="F11" i="1"/>
  <c r="T17" i="6"/>
  <c r="U13" i="6"/>
  <c r="V13" i="6" s="1"/>
  <c r="F13" i="6" s="1"/>
  <c r="U12" i="6"/>
  <c r="U16" i="6"/>
  <c r="V16" i="6" s="1"/>
  <c r="F16" i="6" s="1"/>
  <c r="U14" i="6"/>
  <c r="V14" i="6" s="1"/>
  <c r="F14" i="6" s="1"/>
  <c r="V11" i="6"/>
  <c r="W11" i="6" s="1"/>
  <c r="U16" i="5"/>
  <c r="V16" i="5" s="1"/>
  <c r="F16" i="5" s="1"/>
  <c r="U13" i="5"/>
  <c r="V13" i="5" s="1"/>
  <c r="F13" i="5" s="1"/>
  <c r="U12" i="5"/>
  <c r="U14" i="5"/>
  <c r="V14" i="5" s="1"/>
  <c r="F14" i="5" s="1"/>
  <c r="V11" i="5"/>
  <c r="S17" i="4"/>
  <c r="T13" i="4"/>
  <c r="T12" i="4"/>
  <c r="T15" i="4" s="1"/>
  <c r="U11" i="4"/>
  <c r="T16" i="4"/>
  <c r="T14" i="4"/>
  <c r="W9" i="1"/>
  <c r="T17" i="1"/>
  <c r="Z14" i="1" l="1"/>
  <c r="Y14" i="1"/>
  <c r="U17" i="1"/>
  <c r="F15" i="1"/>
  <c r="Z15" i="1"/>
  <c r="Y15" i="1"/>
  <c r="W11" i="5"/>
  <c r="W17" i="5" s="1"/>
  <c r="F11" i="5"/>
  <c r="F12" i="5"/>
  <c r="W17" i="1"/>
  <c r="W17" i="6"/>
  <c r="F12" i="6"/>
  <c r="F11" i="6"/>
  <c r="Z14" i="6"/>
  <c r="Y14" i="6"/>
  <c r="Z13" i="6"/>
  <c r="Y13" i="6"/>
  <c r="Z16" i="6"/>
  <c r="Y16" i="6"/>
  <c r="Z11" i="6"/>
  <c r="Y11" i="6"/>
  <c r="U15" i="6"/>
  <c r="V15" i="6" s="1"/>
  <c r="F15" i="6" s="1"/>
  <c r="V12" i="6"/>
  <c r="Z11" i="5"/>
  <c r="Y11" i="5"/>
  <c r="Z13" i="5"/>
  <c r="Y13" i="5"/>
  <c r="Z14" i="5"/>
  <c r="Y14" i="5"/>
  <c r="U15" i="5"/>
  <c r="V12" i="5"/>
  <c r="Z16" i="5"/>
  <c r="Y16" i="5"/>
  <c r="T17" i="4"/>
  <c r="U12" i="4"/>
  <c r="U16" i="4"/>
  <c r="V16" i="4" s="1"/>
  <c r="F16" i="4" s="1"/>
  <c r="U14" i="4"/>
  <c r="V14" i="4" s="1"/>
  <c r="F14" i="4" s="1"/>
  <c r="U13" i="4"/>
  <c r="V13" i="4" s="1"/>
  <c r="F13" i="4" s="1"/>
  <c r="V11" i="4"/>
  <c r="W11" i="4" s="1"/>
  <c r="V16" i="1"/>
  <c r="F16" i="1" s="1"/>
  <c r="V12" i="1"/>
  <c r="V13" i="1"/>
  <c r="F13" i="1" s="1"/>
  <c r="V17" i="6" l="1"/>
  <c r="F12" i="4"/>
  <c r="F11" i="4"/>
  <c r="Z15" i="6"/>
  <c r="Y15" i="6"/>
  <c r="U17" i="6"/>
  <c r="Y12" i="6"/>
  <c r="Z12" i="6"/>
  <c r="V15" i="5"/>
  <c r="U17" i="5"/>
  <c r="Y12" i="5"/>
  <c r="Z12" i="5"/>
  <c r="Y11" i="4"/>
  <c r="Z11" i="4"/>
  <c r="W17" i="4"/>
  <c r="Z13" i="4"/>
  <c r="Y13" i="4"/>
  <c r="Z14" i="4"/>
  <c r="Y14" i="4"/>
  <c r="Y16" i="4"/>
  <c r="Z16" i="4"/>
  <c r="U15" i="4"/>
  <c r="V12" i="4"/>
  <c r="V10" i="1"/>
  <c r="V17" i="1" s="1"/>
  <c r="Z9" i="1"/>
  <c r="Y9" i="1"/>
  <c r="Z12" i="1"/>
  <c r="Y12" i="1"/>
  <c r="Z11" i="1"/>
  <c r="Y11" i="1"/>
  <c r="Z13" i="1"/>
  <c r="Y13" i="1"/>
  <c r="Y16" i="1"/>
  <c r="Z16" i="1"/>
  <c r="V17" i="5" l="1"/>
  <c r="F15" i="5"/>
  <c r="F17" i="5" s="1"/>
  <c r="F17" i="6"/>
  <c r="Y15" i="5"/>
  <c r="Z15" i="5"/>
  <c r="V15" i="4"/>
  <c r="F15" i="4" s="1"/>
  <c r="U17" i="4"/>
  <c r="Y12" i="4"/>
  <c r="Z12" i="4"/>
  <c r="Y10" i="1"/>
  <c r="Z10" i="1"/>
  <c r="Y15" i="4" l="1"/>
  <c r="F17" i="4"/>
  <c r="Z15" i="4"/>
  <c r="V17" i="4"/>
  <c r="Y20" i="1"/>
  <c r="Z20" i="1"/>
  <c r="F17" i="1"/>
</calcChain>
</file>

<file path=xl/sharedStrings.xml><?xml version="1.0" encoding="utf-8"?>
<sst xmlns="http://schemas.openxmlformats.org/spreadsheetml/2006/main" count="306" uniqueCount="68">
  <si>
    <t xml:space="preserve">               Media Schedule</t>
    <phoneticPr fontId="5" type="noConversion"/>
  </si>
  <si>
    <t>客戶名稱：</t>
    <phoneticPr fontId="5" type="noConversion"/>
  </si>
  <si>
    <t>Product：</t>
    <phoneticPr fontId="5" type="noConversion"/>
  </si>
  <si>
    <t xml:space="preserve">Period : </t>
    <phoneticPr fontId="5" type="noConversion"/>
  </si>
  <si>
    <t xml:space="preserve">Medium : </t>
    <phoneticPr fontId="5" type="noConversion"/>
  </si>
  <si>
    <t>Station</t>
    <phoneticPr fontId="10" type="noConversion"/>
  </si>
  <si>
    <t>Location</t>
    <phoneticPr fontId="10" type="noConversion"/>
  </si>
  <si>
    <t>Program</t>
    <phoneticPr fontId="10" type="noConversion"/>
  </si>
  <si>
    <t>Day-part</t>
    <phoneticPr fontId="10" type="noConversion"/>
  </si>
  <si>
    <t>Size</t>
    <phoneticPr fontId="5" type="noConversion"/>
  </si>
  <si>
    <t>rate   (Net)</t>
    <phoneticPr fontId="10" type="noConversion"/>
  </si>
  <si>
    <t>Package-cost
(Net)</t>
    <phoneticPr fontId="10" type="noConversion"/>
  </si>
  <si>
    <t>檔次</t>
    <phoneticPr fontId="5" type="noConversion"/>
  </si>
  <si>
    <t>一</t>
    <phoneticPr fontId="4" type="noConversion"/>
  </si>
  <si>
    <t>二</t>
    <phoneticPr fontId="4" type="noConversion"/>
  </si>
  <si>
    <t>三</t>
    <phoneticPr fontId="4" type="noConversion"/>
  </si>
  <si>
    <t>四</t>
    <phoneticPr fontId="4" type="noConversion"/>
  </si>
  <si>
    <t>五</t>
    <phoneticPr fontId="4" type="noConversion"/>
  </si>
  <si>
    <t>六</t>
    <phoneticPr fontId="4" type="noConversion"/>
  </si>
  <si>
    <t>日</t>
    <phoneticPr fontId="4" type="noConversion"/>
  </si>
  <si>
    <t>格蘭英語走期確認</t>
  </si>
  <si>
    <t>總曝光次數</t>
    <phoneticPr fontId="4" type="noConversion"/>
  </si>
  <si>
    <t>曝光期間
店舖總人流量</t>
    <phoneticPr fontId="4" type="noConversion"/>
  </si>
  <si>
    <t>TV北</t>
    <phoneticPr fontId="5" type="noConversion"/>
  </si>
  <si>
    <t>TV桃</t>
    <phoneticPr fontId="5" type="noConversion"/>
  </si>
  <si>
    <t>廣播北</t>
    <phoneticPr fontId="5" type="noConversion"/>
  </si>
  <si>
    <t>桃區-桃竹苗</t>
  </si>
  <si>
    <t>Total</t>
    <phoneticPr fontId="10" type="noConversion"/>
  </si>
  <si>
    <t>製作</t>
    <phoneticPr fontId="5" type="noConversion"/>
  </si>
  <si>
    <t>5% VAT</t>
    <phoneticPr fontId="5" type="noConversion"/>
  </si>
  <si>
    <t>Grand Total</t>
    <phoneticPr fontId="5" type="noConversion"/>
  </si>
  <si>
    <t>Remarks：</t>
  </si>
  <si>
    <t>2.以上節目名稱如有異動，以上檔時節目名稱為主，如遇時段滿檔，上檔時間挪後或更換至同級時段。</t>
    <phoneticPr fontId="5" type="noConversion"/>
  </si>
  <si>
    <t>3.通路店鋪數與開機率開機率至少七成(以上)。每日因加盟數調整，或遇店舖年度季度改裝、設備維護升級及保修等狀況，會有一定幅度增減。</t>
    <phoneticPr fontId="5" type="noConversion"/>
  </si>
  <si>
    <t>乙    方：</t>
    <phoneticPr fontId="5" type="noConversion"/>
  </si>
  <si>
    <t>統一編號：</t>
  </si>
  <si>
    <t>客戶簽章：</t>
  </si>
  <si>
    <t>09-23</t>
    <phoneticPr fontId="5" type="noConversion"/>
  </si>
  <si>
    <t>00-24</t>
    <phoneticPr fontId="4" type="noConversion"/>
  </si>
  <si>
    <t>計量販</t>
    <phoneticPr fontId="4" type="noConversion"/>
  </si>
  <si>
    <t>4.託播方需於上檔前 5 個工作天，提供廣告帶(mp3)。</t>
    <phoneticPr fontId="5" type="noConversion"/>
  </si>
  <si>
    <t>中區-中彰投雲</t>
    <phoneticPr fontId="4" type="noConversion"/>
  </si>
  <si>
    <t>南區-高屏</t>
    <phoneticPr fontId="4" type="noConversion"/>
  </si>
  <si>
    <t>南區-霊嘉南</t>
    <phoneticPr fontId="4" type="noConversion"/>
  </si>
  <si>
    <t>東區-宜花東</t>
    <phoneticPr fontId="4" type="noConversion"/>
  </si>
  <si>
    <t>全省</t>
    <phoneticPr fontId="5" type="noConversion"/>
  </si>
  <si>
    <t>萬家福-量販店</t>
    <phoneticPr fontId="5" type="noConversion"/>
  </si>
  <si>
    <t>樂家康-超市</t>
    <phoneticPr fontId="5" type="noConversion"/>
  </si>
  <si>
    <t>62店</t>
    <phoneticPr fontId="4" type="noConversion"/>
  </si>
  <si>
    <t>217店</t>
    <phoneticPr fontId="4" type="noConversion"/>
  </si>
  <si>
    <t>20秒</t>
    <phoneticPr fontId="4" type="noConversion"/>
  </si>
  <si>
    <t>計價模式</t>
    <phoneticPr fontId="4" type="noConversion"/>
  </si>
  <si>
    <t>20秒</t>
    <phoneticPr fontId="5" type="noConversion"/>
  </si>
  <si>
    <t>2026. 09. 21 - 2026. 10. 04</t>
    <phoneticPr fontId="5" type="noConversion"/>
  </si>
  <si>
    <t>9月</t>
    <phoneticPr fontId="4" type="noConversion"/>
  </si>
  <si>
    <t>1.請於 2026/09/14 (一) 下午17:00前 回簽及進單，方可順利上檔。</t>
    <phoneticPr fontId="5" type="noConversion"/>
  </si>
  <si>
    <t>5.雙方同意費用請款月份 : 月          ，如有修正必要，將另行E-Mail告知，並視為正式合約之一部分。</t>
    <phoneticPr fontId="5" type="noConversion"/>
  </si>
  <si>
    <t>6.付款兌現日期：115.XX.XX</t>
    <phoneticPr fontId="5" type="noConversion"/>
  </si>
  <si>
    <t>甲       方 ：</t>
    <phoneticPr fontId="5" type="noConversion"/>
  </si>
  <si>
    <t>統一編號：</t>
    <phoneticPr fontId="5" type="noConversion"/>
  </si>
  <si>
    <t xml:space="preserve">  承辦人：</t>
    <phoneticPr fontId="4" type="noConversion"/>
  </si>
  <si>
    <t>10秒</t>
    <phoneticPr fontId="5" type="noConversion"/>
  </si>
  <si>
    <t>15秒</t>
    <phoneticPr fontId="5" type="noConversion"/>
  </si>
  <si>
    <t>30秒</t>
    <phoneticPr fontId="5" type="noConversion"/>
  </si>
  <si>
    <t xml:space="preserve">全家便利商店
全家新鮮視
 (全家電視)  </t>
    <phoneticPr fontId="5" type="noConversion"/>
  </si>
  <si>
    <t>新鮮視 萬家福/樂家康 專案</t>
    <phoneticPr fontId="5" type="noConversion"/>
  </si>
  <si>
    <t>北區-北北基</t>
    <phoneticPr fontId="4" type="noConversion"/>
  </si>
  <si>
    <t>06-24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</si>
</sst>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d"/>
    <numFmt numFmtId="177" formatCode="dd"/>
    <numFmt numFmtId="178" formatCode="[$-404]aaa;@"/>
    <numFmt numFmtId="179" formatCode="#,##0&quot;&quot;&quot;面&quot;&quot;&quot;"/>
    <numFmt numFmtId="180" formatCode="#,##0&quot;&quot;&quot;秒&quot;&quot;&quot;"/>
    <numFmt numFmtId="181" formatCode="_-* #,##0_-;\-* #,##0_-;_-* &quot;-&quot;??_-;_-@_-"/>
    <numFmt numFmtId="182" formatCode="#,##0&quot;&quot;&quot;店&quot;&quot;&quot;"/>
    <numFmt numFmtId="183" formatCode="#,##0;[Red]#,##0"/>
    <numFmt numFmtId="184" formatCode="#,##0_ "/>
  </numFmts>
  <fonts count="3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4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name val="微軟正黑體"/>
      <family val="2"/>
      <charset val="136"/>
    </font>
    <font>
      <b/>
      <sz val="22"/>
      <name val="微軟正黑體"/>
      <family val="2"/>
      <charset val="136"/>
    </font>
    <font>
      <sz val="22"/>
      <name val="微軟正黑體"/>
      <family val="2"/>
      <charset val="136"/>
    </font>
    <font>
      <sz val="12"/>
      <name val="Century Gothic"/>
      <family val="2"/>
    </font>
    <font>
      <sz val="9"/>
      <name val="新細明體"/>
      <family val="1"/>
      <charset val="136"/>
    </font>
    <font>
      <b/>
      <sz val="2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2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2"/>
      <name val="Century Gothic"/>
      <family val="2"/>
    </font>
    <font>
      <b/>
      <sz val="26"/>
      <name val="微軟正黑體"/>
      <family val="2"/>
      <charset val="136"/>
    </font>
    <font>
      <sz val="26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26"/>
      <color theme="1"/>
      <name val="Century Gothic"/>
      <family val="2"/>
    </font>
    <font>
      <sz val="26"/>
      <color theme="1"/>
      <name val="Microsoft JhengHei"/>
      <family val="2"/>
      <charset val="136"/>
    </font>
    <font>
      <sz val="26"/>
      <name val="Century Gothic"/>
      <family val="2"/>
    </font>
    <font>
      <sz val="28"/>
      <name val="微軟正黑體"/>
      <family val="2"/>
      <charset val="136"/>
    </font>
    <font>
      <b/>
      <sz val="28"/>
      <name val="微軟正黑體"/>
      <family val="2"/>
      <charset val="136"/>
    </font>
    <font>
      <sz val="22"/>
      <color rgb="FF000099"/>
      <name val="微軟正黑體"/>
      <family val="2"/>
      <charset val="136"/>
    </font>
    <font>
      <b/>
      <sz val="22"/>
      <color rgb="FF000099"/>
      <name val="微軟正黑體"/>
      <family val="2"/>
      <charset val="136"/>
    </font>
    <font>
      <sz val="22"/>
      <color rgb="FF000099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3" fontId="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82">
    <xf numFmtId="0" fontId="0" fillId="0" borderId="0" xfId="0">
      <alignment vertical="center"/>
    </xf>
    <xf numFmtId="38" fontId="6" fillId="2" borderId="0" xfId="1" applyNumberFormat="1" applyFont="1" applyFill="1">
      <alignment vertical="center"/>
    </xf>
    <xf numFmtId="38" fontId="7" fillId="2" borderId="1" xfId="1" applyNumberFormat="1" applyFont="1" applyFill="1" applyBorder="1" applyAlignment="1">
      <alignment horizontal="centerContinuous" vertical="center"/>
    </xf>
    <xf numFmtId="38" fontId="7" fillId="2" borderId="1" xfId="1" applyNumberFormat="1" applyFont="1" applyFill="1" applyBorder="1" applyAlignment="1">
      <alignment horizontal="center" vertical="top"/>
    </xf>
    <xf numFmtId="38" fontId="7" fillId="2" borderId="1" xfId="1" applyNumberFormat="1" applyFont="1" applyFill="1" applyBorder="1" applyAlignment="1">
      <alignment horizontal="centerContinuous" vertical="center" wrapText="1"/>
    </xf>
    <xf numFmtId="49" fontId="7" fillId="2" borderId="1" xfId="1" applyNumberFormat="1" applyFont="1" applyFill="1" applyBorder="1" applyAlignment="1">
      <alignment horizontal="center" vertical="center"/>
    </xf>
    <xf numFmtId="38" fontId="7" fillId="2" borderId="1" xfId="1" applyNumberFormat="1" applyFont="1" applyFill="1" applyBorder="1" applyAlignment="1">
      <alignment horizontal="center" vertical="center"/>
    </xf>
    <xf numFmtId="38" fontId="8" fillId="2" borderId="1" xfId="1" applyNumberFormat="1" applyFont="1" applyFill="1" applyBorder="1" applyAlignment="1">
      <alignment horizontal="center" vertical="center"/>
    </xf>
    <xf numFmtId="38" fontId="6" fillId="2" borderId="0" xfId="1" applyNumberFormat="1" applyFont="1" applyFill="1" applyAlignment="1">
      <alignment horizontal="center" vertical="center"/>
    </xf>
    <xf numFmtId="38" fontId="12" fillId="0" borderId="0" xfId="1" applyNumberFormat="1" applyFont="1">
      <alignment vertical="center"/>
    </xf>
    <xf numFmtId="0" fontId="13" fillId="3" borderId="5" xfId="2" applyFont="1" applyFill="1" applyBorder="1" applyAlignment="1">
      <alignment horizontal="center" vertical="center"/>
    </xf>
    <xf numFmtId="0" fontId="13" fillId="3" borderId="5" xfId="2" applyFont="1" applyFill="1" applyBorder="1" applyAlignment="1">
      <alignment horizontal="center" vertical="center" wrapText="1"/>
    </xf>
    <xf numFmtId="38" fontId="14" fillId="2" borderId="0" xfId="1" applyNumberFormat="1" applyFont="1" applyFill="1">
      <alignment vertical="center"/>
    </xf>
    <xf numFmtId="38" fontId="15" fillId="2" borderId="0" xfId="1" applyNumberFormat="1" applyFont="1" applyFill="1">
      <alignment vertical="center"/>
    </xf>
    <xf numFmtId="0" fontId="16" fillId="0" borderId="19" xfId="2" applyFont="1" applyBorder="1" applyAlignment="1">
      <alignment horizontal="center" vertical="center" wrapText="1"/>
    </xf>
    <xf numFmtId="181" fontId="14" fillId="2" borderId="20" xfId="6" applyNumberFormat="1" applyFont="1" applyFill="1" applyBorder="1" applyAlignment="1">
      <alignment vertical="center"/>
    </xf>
    <xf numFmtId="0" fontId="16" fillId="0" borderId="22" xfId="2" applyFont="1" applyBorder="1" applyAlignment="1">
      <alignment horizontal="center" vertical="center" wrapText="1"/>
    </xf>
    <xf numFmtId="0" fontId="15" fillId="2" borderId="0" xfId="2" applyFont="1" applyFill="1">
      <alignment vertical="center"/>
    </xf>
    <xf numFmtId="181" fontId="14" fillId="2" borderId="40" xfId="6" applyNumberFormat="1" applyFont="1" applyFill="1" applyBorder="1" applyAlignment="1">
      <alignment vertical="center"/>
    </xf>
    <xf numFmtId="184" fontId="17" fillId="2" borderId="41" xfId="7" applyNumberFormat="1" applyFont="1" applyFill="1" applyBorder="1" applyAlignment="1">
      <alignment horizontal="left"/>
    </xf>
    <xf numFmtId="0" fontId="13" fillId="2" borderId="0" xfId="2" applyFont="1" applyFill="1">
      <alignment vertical="center"/>
    </xf>
    <xf numFmtId="181" fontId="14" fillId="2" borderId="44" xfId="6" applyNumberFormat="1" applyFont="1" applyFill="1" applyBorder="1" applyAlignment="1">
      <alignment vertical="center"/>
    </xf>
    <xf numFmtId="184" fontId="17" fillId="2" borderId="45" xfId="7" applyNumberFormat="1" applyFont="1" applyFill="1" applyBorder="1" applyAlignment="1">
      <alignment horizontal="left" vertical="center"/>
    </xf>
    <xf numFmtId="38" fontId="13" fillId="2" borderId="0" xfId="1" applyNumberFormat="1" applyFont="1" applyFill="1">
      <alignment vertical="center"/>
    </xf>
    <xf numFmtId="181" fontId="18" fillId="4" borderId="11" xfId="6" applyNumberFormat="1" applyFont="1" applyFill="1" applyBorder="1" applyAlignment="1">
      <alignment vertical="center" wrapText="1"/>
    </xf>
    <xf numFmtId="0" fontId="21" fillId="2" borderId="50" xfId="2" applyFont="1" applyFill="1" applyBorder="1" applyAlignment="1">
      <alignment horizontal="left" vertical="center" indent="2"/>
    </xf>
    <xf numFmtId="38" fontId="18" fillId="2" borderId="50" xfId="1" applyNumberFormat="1" applyFont="1" applyFill="1" applyBorder="1" applyAlignment="1">
      <alignment vertical="center" wrapText="1"/>
    </xf>
    <xf numFmtId="49" fontId="18" fillId="2" borderId="50" xfId="8" applyNumberFormat="1" applyFont="1" applyFill="1" applyBorder="1" applyAlignment="1">
      <alignment horizontal="center" vertical="center"/>
    </xf>
    <xf numFmtId="38" fontId="18" fillId="2" borderId="50" xfId="8" applyNumberFormat="1" applyFont="1" applyFill="1" applyBorder="1" applyAlignment="1">
      <alignment horizontal="center" vertical="center"/>
    </xf>
    <xf numFmtId="38" fontId="21" fillId="2" borderId="50" xfId="8" applyNumberFormat="1" applyFont="1" applyFill="1" applyBorder="1" applyAlignment="1">
      <alignment horizontal="center" vertical="center"/>
    </xf>
    <xf numFmtId="38" fontId="18" fillId="2" borderId="0" xfId="1" applyNumberFormat="1" applyFont="1" applyFill="1">
      <alignment vertical="center"/>
    </xf>
    <xf numFmtId="0" fontId="9" fillId="0" borderId="0" xfId="2">
      <alignment vertical="center"/>
    </xf>
    <xf numFmtId="0" fontId="22" fillId="0" borderId="0" xfId="2" applyFont="1">
      <alignment vertical="center"/>
    </xf>
    <xf numFmtId="0" fontId="16" fillId="0" borderId="4" xfId="2" applyFont="1" applyBorder="1" applyAlignment="1">
      <alignment horizontal="center" vertical="center" wrapText="1"/>
    </xf>
    <xf numFmtId="181" fontId="16" fillId="2" borderId="20" xfId="6" applyNumberFormat="1" applyFont="1" applyFill="1" applyBorder="1" applyAlignment="1">
      <alignment horizontal="center" vertical="center"/>
    </xf>
    <xf numFmtId="181" fontId="16" fillId="0" borderId="20" xfId="6" applyNumberFormat="1" applyFont="1" applyBorder="1" applyAlignment="1">
      <alignment horizontal="center" vertical="center"/>
    </xf>
    <xf numFmtId="38" fontId="15" fillId="2" borderId="0" xfId="1" applyNumberFormat="1" applyFont="1" applyFill="1" applyAlignment="1">
      <alignment horizontal="center" vertical="center"/>
    </xf>
    <xf numFmtId="38" fontId="16" fillId="2" borderId="0" xfId="1" applyNumberFormat="1" applyFont="1" applyFill="1" applyAlignment="1">
      <alignment horizontal="center" vertical="center"/>
    </xf>
    <xf numFmtId="0" fontId="23" fillId="2" borderId="0" xfId="2" applyFont="1" applyFill="1" applyAlignment="1">
      <alignment horizontal="left" vertical="center"/>
    </xf>
    <xf numFmtId="0" fontId="24" fillId="2" borderId="0" xfId="2" applyFont="1" applyFill="1" applyAlignment="1">
      <alignment horizontal="left" vertical="center"/>
    </xf>
    <xf numFmtId="0" fontId="23" fillId="2" borderId="0" xfId="2" applyFont="1" applyFill="1" applyAlignment="1">
      <alignment horizontal="center" vertical="center"/>
    </xf>
    <xf numFmtId="0" fontId="24" fillId="2" borderId="0" xfId="2" applyFont="1" applyFill="1" applyAlignment="1">
      <alignment horizontal="center" vertical="center"/>
    </xf>
    <xf numFmtId="0" fontId="24" fillId="2" borderId="2" xfId="2" applyFont="1" applyFill="1" applyBorder="1" applyAlignment="1">
      <alignment horizontal="center" vertical="center"/>
    </xf>
    <xf numFmtId="38" fontId="23" fillId="2" borderId="0" xfId="1" applyNumberFormat="1" applyFont="1" applyFill="1" applyAlignment="1">
      <alignment horizontal="left" vertical="center"/>
    </xf>
    <xf numFmtId="38" fontId="24" fillId="2" borderId="0" xfId="1" applyNumberFormat="1" applyFont="1" applyFill="1" applyAlignment="1">
      <alignment vertical="center" wrapText="1"/>
    </xf>
    <xf numFmtId="38" fontId="24" fillId="2" borderId="0" xfId="1" applyNumberFormat="1" applyFont="1" applyFill="1" applyAlignment="1">
      <alignment horizontal="center" vertical="center"/>
    </xf>
    <xf numFmtId="38" fontId="23" fillId="2" borderId="0" xfId="1" applyNumberFormat="1" applyFont="1" applyFill="1" applyAlignment="1">
      <alignment horizontal="center" vertical="center"/>
    </xf>
    <xf numFmtId="9" fontId="24" fillId="0" borderId="0" xfId="3" applyFont="1" applyFill="1" applyAlignment="1">
      <alignment vertical="center"/>
    </xf>
    <xf numFmtId="38" fontId="23" fillId="2" borderId="0" xfId="1" applyNumberFormat="1" applyFont="1" applyFill="1" applyAlignment="1">
      <alignment horizontal="right" vertical="center"/>
    </xf>
    <xf numFmtId="38" fontId="23" fillId="0" borderId="0" xfId="1" applyNumberFormat="1" applyFont="1" applyAlignment="1">
      <alignment horizontal="center" vertical="center"/>
    </xf>
    <xf numFmtId="38" fontId="24" fillId="0" borderId="0" xfId="1" applyNumberFormat="1" applyFont="1" applyAlignment="1">
      <alignment horizontal="center" vertical="center"/>
    </xf>
    <xf numFmtId="38" fontId="11" fillId="0" borderId="0" xfId="1" applyNumberFormat="1" applyFont="1" applyAlignment="1">
      <alignment horizontal="center" vertical="center"/>
    </xf>
    <xf numFmtId="176" fontId="7" fillId="2" borderId="7" xfId="2" applyNumberFormat="1" applyFont="1" applyFill="1" applyBorder="1" applyAlignment="1">
      <alignment horizontal="center" vertical="center"/>
    </xf>
    <xf numFmtId="178" fontId="7" fillId="0" borderId="13" xfId="4" applyNumberFormat="1" applyFont="1" applyBorder="1" applyAlignment="1">
      <alignment horizontal="center" vertical="center"/>
    </xf>
    <xf numFmtId="0" fontId="20" fillId="0" borderId="4" xfId="2" applyFont="1" applyBorder="1" applyAlignment="1">
      <alignment horizontal="center" vertical="center" wrapText="1"/>
    </xf>
    <xf numFmtId="179" fontId="20" fillId="0" borderId="4" xfId="2" applyNumberFormat="1" applyFont="1" applyBorder="1" applyAlignment="1">
      <alignment horizontal="center" vertical="center" wrapText="1"/>
    </xf>
    <xf numFmtId="38" fontId="20" fillId="2" borderId="4" xfId="1" applyNumberFormat="1" applyFont="1" applyFill="1" applyBorder="1" applyAlignment="1">
      <alignment horizontal="center" vertical="center" wrapText="1"/>
    </xf>
    <xf numFmtId="0" fontId="20" fillId="0" borderId="16" xfId="5" applyFont="1" applyBorder="1" applyAlignment="1">
      <alignment horizontal="center" vertical="center"/>
    </xf>
    <xf numFmtId="0" fontId="20" fillId="0" borderId="17" xfId="5" applyFont="1" applyBorder="1" applyAlignment="1">
      <alignment horizontal="center" vertical="center"/>
    </xf>
    <xf numFmtId="38" fontId="20" fillId="2" borderId="18" xfId="1" applyNumberFormat="1" applyFont="1" applyFill="1" applyBorder="1" applyAlignment="1">
      <alignment horizontal="center" vertical="center"/>
    </xf>
    <xf numFmtId="0" fontId="20" fillId="0" borderId="22" xfId="2" applyFont="1" applyBorder="1" applyAlignment="1">
      <alignment horizontal="center" vertical="center" wrapText="1"/>
    </xf>
    <xf numFmtId="179" fontId="20" fillId="0" borderId="22" xfId="2" applyNumberFormat="1" applyFont="1" applyBorder="1" applyAlignment="1">
      <alignment horizontal="center" vertical="center" wrapText="1"/>
    </xf>
    <xf numFmtId="38" fontId="20" fillId="2" borderId="22" xfId="1" applyNumberFormat="1" applyFont="1" applyFill="1" applyBorder="1" applyAlignment="1">
      <alignment horizontal="center" vertical="center" wrapText="1"/>
    </xf>
    <xf numFmtId="0" fontId="20" fillId="0" borderId="24" xfId="5" applyFont="1" applyBorder="1" applyAlignment="1">
      <alignment horizontal="center" vertical="center"/>
    </xf>
    <xf numFmtId="0" fontId="20" fillId="0" borderId="25" xfId="5" applyFont="1" applyBorder="1" applyAlignment="1">
      <alignment horizontal="center" vertical="center"/>
    </xf>
    <xf numFmtId="38" fontId="20" fillId="2" borderId="26" xfId="1" applyNumberFormat="1" applyFont="1" applyFill="1" applyBorder="1" applyAlignment="1">
      <alignment horizontal="center" vertical="center"/>
    </xf>
    <xf numFmtId="0" fontId="20" fillId="0" borderId="28" xfId="2" applyFont="1" applyBorder="1" applyAlignment="1">
      <alignment horizontal="center" vertical="center" wrapText="1"/>
    </xf>
    <xf numFmtId="182" fontId="20" fillId="0" borderId="28" xfId="2" applyNumberFormat="1" applyFont="1" applyBorder="1" applyAlignment="1">
      <alignment horizontal="center" vertical="center" wrapText="1"/>
    </xf>
    <xf numFmtId="38" fontId="20" fillId="2" borderId="28" xfId="1" applyNumberFormat="1" applyFont="1" applyFill="1" applyBorder="1" applyAlignment="1">
      <alignment horizontal="center" vertical="center" wrapText="1"/>
    </xf>
    <xf numFmtId="0" fontId="20" fillId="0" borderId="29" xfId="5" applyFont="1" applyBorder="1" applyAlignment="1">
      <alignment horizontal="center" vertical="center"/>
    </xf>
    <xf numFmtId="0" fontId="20" fillId="0" borderId="30" xfId="5" applyFont="1" applyBorder="1" applyAlignment="1">
      <alignment horizontal="center" vertical="center"/>
    </xf>
    <xf numFmtId="38" fontId="20" fillId="2" borderId="31" xfId="1" applyNumberFormat="1" applyFont="1" applyFill="1" applyBorder="1" applyAlignment="1">
      <alignment horizontal="center" vertical="center"/>
    </xf>
    <xf numFmtId="182" fontId="20" fillId="0" borderId="22" xfId="2" applyNumberFormat="1" applyFont="1" applyBorder="1" applyAlignment="1">
      <alignment horizontal="center" vertical="center" wrapText="1"/>
    </xf>
    <xf numFmtId="0" fontId="20" fillId="0" borderId="10" xfId="2" applyFont="1" applyBorder="1" applyAlignment="1">
      <alignment horizontal="center" vertical="center" wrapText="1"/>
    </xf>
    <xf numFmtId="182" fontId="20" fillId="0" borderId="10" xfId="2" applyNumberFormat="1" applyFont="1" applyBorder="1" applyAlignment="1">
      <alignment horizontal="center" vertical="center" wrapText="1"/>
    </xf>
    <xf numFmtId="38" fontId="20" fillId="2" borderId="10" xfId="1" applyNumberFormat="1" applyFont="1" applyFill="1" applyBorder="1" applyAlignment="1">
      <alignment horizontal="center" vertical="center" wrapText="1"/>
    </xf>
    <xf numFmtId="0" fontId="20" fillId="0" borderId="33" xfId="5" applyFont="1" applyBorder="1" applyAlignment="1">
      <alignment horizontal="center" vertical="center"/>
    </xf>
    <xf numFmtId="0" fontId="20" fillId="0" borderId="34" xfId="5" applyFont="1" applyBorder="1" applyAlignment="1">
      <alignment horizontal="center" vertical="center"/>
    </xf>
    <xf numFmtId="38" fontId="20" fillId="2" borderId="35" xfId="1" applyNumberFormat="1" applyFont="1" applyFill="1" applyBorder="1" applyAlignment="1">
      <alignment horizontal="center" vertical="center"/>
    </xf>
    <xf numFmtId="3" fontId="20" fillId="2" borderId="1" xfId="7" applyNumberFormat="1" applyFont="1" applyFill="1" applyBorder="1" applyAlignment="1">
      <alignment horizontal="center" vertical="center"/>
    </xf>
    <xf numFmtId="0" fontId="20" fillId="2" borderId="37" xfId="7" applyFont="1" applyFill="1" applyBorder="1" applyAlignment="1">
      <alignment horizontal="center" vertical="center"/>
    </xf>
    <xf numFmtId="0" fontId="20" fillId="2" borderId="38" xfId="7" applyFont="1" applyFill="1" applyBorder="1" applyAlignment="1">
      <alignment horizontal="center" vertical="center"/>
    </xf>
    <xf numFmtId="183" fontId="20" fillId="2" borderId="38" xfId="7" applyNumberFormat="1" applyFont="1" applyFill="1" applyBorder="1" applyAlignment="1">
      <alignment horizontal="center" vertical="center" wrapText="1"/>
    </xf>
    <xf numFmtId="183" fontId="19" fillId="2" borderId="39" xfId="7" applyNumberFormat="1" applyFont="1" applyFill="1" applyBorder="1" applyAlignment="1">
      <alignment horizontal="center" vertical="center" wrapText="1"/>
    </xf>
    <xf numFmtId="38" fontId="20" fillId="0" borderId="38" xfId="7" applyNumberFormat="1" applyFont="1" applyBorder="1" applyAlignment="1">
      <alignment horizontal="center" vertical="center" wrapText="1"/>
    </xf>
    <xf numFmtId="38" fontId="20" fillId="0" borderId="14" xfId="7" applyNumberFormat="1" applyFont="1" applyBorder="1" applyAlignment="1">
      <alignment horizontal="center" vertical="center" wrapText="1"/>
    </xf>
    <xf numFmtId="0" fontId="20" fillId="2" borderId="2" xfId="7" applyFont="1" applyFill="1" applyBorder="1" applyAlignment="1">
      <alignment horizontal="center" vertical="center"/>
    </xf>
    <xf numFmtId="0" fontId="20" fillId="2" borderId="2" xfId="2" applyFont="1" applyFill="1" applyBorder="1" applyAlignment="1">
      <alignment horizontal="left" vertical="center"/>
    </xf>
    <xf numFmtId="0" fontId="20" fillId="0" borderId="41" xfId="2" applyFont="1" applyBorder="1" applyAlignment="1">
      <alignment horizontal="center" vertical="center"/>
    </xf>
    <xf numFmtId="183" fontId="19" fillId="2" borderId="42" xfId="7" applyNumberFormat="1" applyFont="1" applyFill="1" applyBorder="1" applyAlignment="1">
      <alignment horizontal="center" vertical="center" wrapText="1"/>
    </xf>
    <xf numFmtId="183" fontId="20" fillId="2" borderId="0" xfId="7" applyNumberFormat="1" applyFont="1" applyFill="1" applyAlignment="1">
      <alignment vertical="center" wrapText="1"/>
    </xf>
    <xf numFmtId="183" fontId="20" fillId="2" borderId="43" xfId="7" applyNumberFormat="1" applyFont="1" applyFill="1" applyBorder="1" applyAlignment="1">
      <alignment vertical="center" wrapText="1"/>
    </xf>
    <xf numFmtId="0" fontId="20" fillId="2" borderId="0" xfId="7" applyFont="1" applyFill="1" applyAlignment="1">
      <alignment horizontal="center" vertical="center"/>
    </xf>
    <xf numFmtId="0" fontId="20" fillId="2" borderId="0" xfId="2" applyFont="1" applyFill="1" applyAlignment="1">
      <alignment horizontal="left" vertical="center"/>
    </xf>
    <xf numFmtId="0" fontId="20" fillId="0" borderId="46" xfId="2" applyFont="1" applyBorder="1" applyAlignment="1">
      <alignment horizontal="center" vertical="center"/>
    </xf>
    <xf numFmtId="183" fontId="19" fillId="2" borderId="47" xfId="7" applyNumberFormat="1" applyFont="1" applyFill="1" applyBorder="1" applyAlignment="1">
      <alignment horizontal="center" vertical="center" wrapText="1"/>
    </xf>
    <xf numFmtId="184" fontId="20" fillId="2" borderId="36" xfId="7" applyNumberFormat="1" applyFont="1" applyFill="1" applyBorder="1" applyAlignment="1">
      <alignment horizontal="left" vertical="top"/>
    </xf>
    <xf numFmtId="38" fontId="20" fillId="2" borderId="1" xfId="1" applyNumberFormat="1" applyFont="1" applyFill="1" applyBorder="1" applyAlignment="1">
      <alignment vertical="center" wrapText="1"/>
    </xf>
    <xf numFmtId="49" fontId="20" fillId="2" borderId="1" xfId="8" applyNumberFormat="1" applyFont="1" applyFill="1" applyBorder="1" applyAlignment="1">
      <alignment horizontal="center" vertical="center"/>
    </xf>
    <xf numFmtId="0" fontId="20" fillId="0" borderId="48" xfId="2" applyFont="1" applyBorder="1" applyAlignment="1">
      <alignment horizontal="center" vertical="center"/>
    </xf>
    <xf numFmtId="38" fontId="19" fillId="2" borderId="49" xfId="8" applyNumberFormat="1" applyFont="1" applyFill="1" applyBorder="1" applyAlignment="1">
      <alignment horizontal="center" vertical="center"/>
    </xf>
    <xf numFmtId="183" fontId="20" fillId="2" borderId="1" xfId="7" applyNumberFormat="1" applyFont="1" applyFill="1" applyBorder="1" applyAlignment="1">
      <alignment vertical="center" wrapText="1"/>
    </xf>
    <xf numFmtId="183" fontId="20" fillId="2" borderId="49" xfId="7" applyNumberFormat="1" applyFont="1" applyFill="1" applyBorder="1" applyAlignment="1">
      <alignment vertical="center" wrapText="1"/>
    </xf>
    <xf numFmtId="38" fontId="25" fillId="2" borderId="0" xfId="1" applyNumberFormat="1" applyFont="1" applyFill="1">
      <alignment vertical="center"/>
    </xf>
    <xf numFmtId="38" fontId="25" fillId="2" borderId="0" xfId="1" applyNumberFormat="1" applyFont="1" applyFill="1" applyAlignment="1">
      <alignment vertical="center" wrapText="1"/>
    </xf>
    <xf numFmtId="49" fontId="25" fillId="2" borderId="0" xfId="8" applyNumberFormat="1" applyFont="1" applyFill="1" applyAlignment="1">
      <alignment horizontal="center" vertical="center"/>
    </xf>
    <xf numFmtId="0" fontId="26" fillId="0" borderId="0" xfId="2" applyFont="1" applyAlignment="1">
      <alignment horizontal="right" vertical="center"/>
    </xf>
    <xf numFmtId="38" fontId="25" fillId="0" borderId="0" xfId="8" applyNumberFormat="1" applyFont="1" applyAlignment="1">
      <alignment horizontal="center" vertical="center"/>
    </xf>
    <xf numFmtId="0" fontId="27" fillId="2" borderId="0" xfId="2" applyFont="1" applyFill="1" applyAlignment="1">
      <alignment horizontal="left" vertical="center" indent="2"/>
    </xf>
    <xf numFmtId="38" fontId="26" fillId="2" borderId="0" xfId="8" applyNumberFormat="1" applyFont="1" applyFill="1" applyAlignment="1">
      <alignment horizontal="right" vertical="center"/>
    </xf>
    <xf numFmtId="0" fontId="28" fillId="0" borderId="0" xfId="2" applyFont="1">
      <alignment vertical="center"/>
    </xf>
    <xf numFmtId="38" fontId="26" fillId="2" borderId="0" xfId="1" applyNumberFormat="1" applyFont="1" applyFill="1" applyAlignment="1">
      <alignment horizontal="center" vertical="center"/>
    </xf>
    <xf numFmtId="38" fontId="26" fillId="2" borderId="0" xfId="1" applyNumberFormat="1" applyFont="1" applyFill="1">
      <alignment vertical="center"/>
    </xf>
    <xf numFmtId="0" fontId="25" fillId="2" borderId="0" xfId="2" applyFont="1" applyFill="1" applyAlignment="1">
      <alignment horizontal="left" vertical="center" indent="2"/>
    </xf>
    <xf numFmtId="38" fontId="25" fillId="2" borderId="0" xfId="8" applyNumberFormat="1" applyFont="1" applyFill="1" applyAlignment="1">
      <alignment horizontal="center" vertical="center"/>
    </xf>
    <xf numFmtId="38" fontId="26" fillId="2" borderId="0" xfId="8" applyNumberFormat="1" applyFont="1" applyFill="1" applyAlignment="1">
      <alignment vertical="center"/>
    </xf>
    <xf numFmtId="38" fontId="25" fillId="2" borderId="0" xfId="8" applyNumberFormat="1" applyFont="1" applyFill="1" applyAlignment="1">
      <alignment horizontal="right" vertical="center"/>
    </xf>
    <xf numFmtId="38" fontId="26" fillId="2" borderId="0" xfId="8" applyNumberFormat="1" applyFont="1" applyFill="1" applyAlignment="1">
      <alignment horizontal="center" vertical="center"/>
    </xf>
    <xf numFmtId="38" fontId="25" fillId="2" borderId="0" xfId="8" applyNumberFormat="1" applyFont="1" applyFill="1" applyAlignment="1">
      <alignment vertical="center"/>
    </xf>
    <xf numFmtId="183" fontId="25" fillId="2" borderId="0" xfId="7" applyNumberFormat="1" applyFont="1" applyFill="1" applyAlignment="1">
      <alignment horizontal="right" vertical="center" wrapText="1"/>
    </xf>
    <xf numFmtId="38" fontId="26" fillId="2" borderId="0" xfId="1" applyNumberFormat="1" applyFont="1" applyFill="1" applyAlignment="1">
      <alignment vertical="center" wrapText="1"/>
    </xf>
    <xf numFmtId="49" fontId="26" fillId="2" borderId="0" xfId="8" applyNumberFormat="1" applyFont="1" applyFill="1" applyAlignment="1">
      <alignment horizontal="center" vertical="center"/>
    </xf>
    <xf numFmtId="0" fontId="29" fillId="0" borderId="0" xfId="9" applyFont="1" applyAlignment="1">
      <alignment horizontal="left" vertical="center" wrapText="1" indent="1"/>
    </xf>
    <xf numFmtId="0" fontId="29" fillId="0" borderId="0" xfId="9" applyFont="1" applyAlignment="1">
      <alignment vertical="center" wrapText="1"/>
    </xf>
    <xf numFmtId="0" fontId="29" fillId="0" borderId="0" xfId="9" applyFont="1">
      <alignment vertical="center"/>
    </xf>
    <xf numFmtId="0" fontId="30" fillId="0" borderId="0" xfId="2" applyFont="1">
      <alignment vertical="center"/>
    </xf>
    <xf numFmtId="0" fontId="23" fillId="2" borderId="0" xfId="2" applyFont="1" applyFill="1">
      <alignment vertical="center"/>
    </xf>
    <xf numFmtId="0" fontId="24" fillId="2" borderId="0" xfId="2" applyFont="1" applyFill="1">
      <alignment vertical="center"/>
    </xf>
    <xf numFmtId="38" fontId="24" fillId="2" borderId="0" xfId="1" applyNumberFormat="1" applyFont="1" applyFill="1">
      <alignment vertical="center"/>
    </xf>
    <xf numFmtId="49" fontId="20" fillId="0" borderId="4" xfId="1" quotePrefix="1" applyNumberFormat="1" applyFont="1" applyBorder="1" applyAlignment="1">
      <alignment horizontal="center" vertical="center"/>
    </xf>
    <xf numFmtId="0" fontId="31" fillId="2" borderId="0" xfId="2" applyFont="1" applyFill="1">
      <alignment vertical="center"/>
    </xf>
    <xf numFmtId="38" fontId="31" fillId="2" borderId="0" xfId="1" applyNumberFormat="1" applyFont="1" applyFill="1">
      <alignment vertical="center"/>
    </xf>
    <xf numFmtId="38" fontId="32" fillId="0" borderId="0" xfId="1" applyNumberFormat="1" applyFont="1">
      <alignment vertical="center"/>
    </xf>
    <xf numFmtId="49" fontId="20" fillId="0" borderId="22" xfId="1" quotePrefix="1" applyNumberFormat="1" applyFont="1" applyBorder="1" applyAlignment="1">
      <alignment horizontal="center" vertical="center"/>
    </xf>
    <xf numFmtId="38" fontId="33" fillId="2" borderId="0" xfId="1" applyNumberFormat="1" applyFont="1" applyFill="1" applyAlignment="1">
      <alignment horizontal="center" vertical="center"/>
    </xf>
    <xf numFmtId="0" fontId="33" fillId="2" borderId="0" xfId="2" applyFont="1" applyFill="1" applyAlignment="1">
      <alignment horizontal="center" vertical="center"/>
    </xf>
    <xf numFmtId="10" fontId="34" fillId="0" borderId="0" xfId="10" applyNumberFormat="1" applyFont="1" applyAlignment="1">
      <alignment horizontal="center" vertical="center"/>
    </xf>
    <xf numFmtId="38" fontId="34" fillId="2" borderId="0" xfId="1" applyNumberFormat="1" applyFont="1" applyFill="1" applyAlignment="1">
      <alignment horizontal="center" vertical="center"/>
    </xf>
    <xf numFmtId="38" fontId="34" fillId="2" borderId="0" xfId="2" applyNumberFormat="1" applyFont="1" applyFill="1" applyAlignment="1">
      <alignment horizontal="center" vertical="center"/>
    </xf>
    <xf numFmtId="0" fontId="34" fillId="2" borderId="0" xfId="2" applyFont="1" applyFill="1" applyAlignment="1">
      <alignment horizontal="center" vertical="center"/>
    </xf>
    <xf numFmtId="0" fontId="35" fillId="0" borderId="0" xfId="2" applyFont="1" applyAlignment="1">
      <alignment horizontal="center" vertical="center"/>
    </xf>
    <xf numFmtId="40" fontId="33" fillId="2" borderId="0" xfId="1" applyNumberFormat="1" applyFont="1" applyFill="1" applyAlignment="1">
      <alignment horizontal="center" vertical="center"/>
    </xf>
    <xf numFmtId="40" fontId="34" fillId="0" borderId="0" xfId="1" applyNumberFormat="1" applyFont="1" applyAlignment="1">
      <alignment horizontal="center" vertical="center"/>
    </xf>
    <xf numFmtId="0" fontId="29" fillId="0" borderId="0" xfId="9" applyFont="1" applyAlignment="1">
      <alignment horizontal="left" vertical="center" wrapText="1"/>
    </xf>
    <xf numFmtId="0" fontId="29" fillId="0" borderId="0" xfId="9" applyFont="1" applyAlignment="1">
      <alignment horizontal="left" vertical="center"/>
    </xf>
    <xf numFmtId="0" fontId="20" fillId="2" borderId="36" xfId="7" applyFont="1" applyFill="1" applyBorder="1" applyAlignment="1">
      <alignment horizontal="center" vertical="center"/>
    </xf>
    <xf numFmtId="0" fontId="20" fillId="2" borderId="1" xfId="7" applyFont="1" applyFill="1" applyBorder="1" applyAlignment="1">
      <alignment horizontal="center" vertical="center"/>
    </xf>
    <xf numFmtId="0" fontId="29" fillId="0" borderId="0" xfId="9" applyFont="1" applyAlignment="1">
      <alignment horizontal="left" vertical="center" wrapText="1" indent="1"/>
    </xf>
    <xf numFmtId="0" fontId="29" fillId="0" borderId="51" xfId="9" applyFont="1" applyBorder="1" applyAlignment="1">
      <alignment horizontal="left" vertical="center" wrapText="1"/>
    </xf>
    <xf numFmtId="0" fontId="29" fillId="0" borderId="51" xfId="9" applyFont="1" applyBorder="1" applyAlignment="1">
      <alignment horizontal="center" vertical="center" wrapText="1"/>
    </xf>
    <xf numFmtId="0" fontId="20" fillId="0" borderId="54" xfId="2" applyFont="1" applyBorder="1" applyAlignment="1">
      <alignment horizontal="center" vertical="center" wrapText="1"/>
    </xf>
    <xf numFmtId="0" fontId="20" fillId="0" borderId="55" xfId="2" applyFont="1" applyBorder="1" applyAlignment="1">
      <alignment horizontal="center" vertical="center" wrapText="1"/>
    </xf>
    <xf numFmtId="180" fontId="20" fillId="0" borderId="4" xfId="1" applyNumberFormat="1" applyFont="1" applyBorder="1" applyAlignment="1">
      <alignment horizontal="center" vertical="center"/>
    </xf>
    <xf numFmtId="180" fontId="20" fillId="0" borderId="22" xfId="1" applyNumberFormat="1" applyFont="1" applyBorder="1" applyAlignment="1">
      <alignment horizontal="center" vertical="center"/>
    </xf>
    <xf numFmtId="38" fontId="19" fillId="2" borderId="15" xfId="1" applyNumberFormat="1" applyFont="1" applyFill="1" applyBorder="1" applyAlignment="1">
      <alignment horizontal="center" vertical="center" wrapText="1"/>
    </xf>
    <xf numFmtId="38" fontId="19" fillId="2" borderId="23" xfId="1" applyNumberFormat="1" applyFont="1" applyFill="1" applyBorder="1" applyAlignment="1">
      <alignment horizontal="center" vertical="center" wrapText="1"/>
    </xf>
    <xf numFmtId="38" fontId="19" fillId="2" borderId="32" xfId="1" applyNumberFormat="1" applyFont="1" applyFill="1" applyBorder="1" applyAlignment="1">
      <alignment horizontal="center" vertical="center" wrapText="1"/>
    </xf>
    <xf numFmtId="0" fontId="20" fillId="0" borderId="27" xfId="2" applyFont="1" applyBorder="1" applyAlignment="1">
      <alignment horizontal="center" vertical="center" wrapText="1"/>
    </xf>
    <xf numFmtId="0" fontId="20" fillId="0" borderId="21" xfId="2" applyFont="1" applyBorder="1" applyAlignment="1">
      <alignment horizontal="center" vertical="center" wrapText="1"/>
    </xf>
    <xf numFmtId="0" fontId="20" fillId="0" borderId="52" xfId="2" applyFont="1" applyBorder="1" applyAlignment="1">
      <alignment horizontal="center" vertical="center" wrapText="1"/>
    </xf>
    <xf numFmtId="0" fontId="20" fillId="0" borderId="9" xfId="2" applyFont="1" applyBorder="1" applyAlignment="1">
      <alignment horizontal="center" vertical="center" wrapText="1"/>
    </xf>
    <xf numFmtId="49" fontId="20" fillId="0" borderId="22" xfId="1" applyNumberFormat="1" applyFont="1" applyBorder="1" applyAlignment="1">
      <alignment horizontal="center" vertical="center"/>
    </xf>
    <xf numFmtId="49" fontId="20" fillId="0" borderId="53" xfId="1" applyNumberFormat="1" applyFont="1" applyBorder="1" applyAlignment="1">
      <alignment horizontal="center" vertical="center"/>
    </xf>
    <xf numFmtId="49" fontId="20" fillId="0" borderId="10" xfId="1" applyNumberFormat="1" applyFont="1" applyBorder="1" applyAlignment="1">
      <alignment horizontal="center" vertical="center"/>
    </xf>
    <xf numFmtId="180" fontId="20" fillId="0" borderId="28" xfId="1" applyNumberFormat="1" applyFont="1" applyBorder="1" applyAlignment="1">
      <alignment horizontal="center" vertical="center"/>
    </xf>
    <xf numFmtId="180" fontId="20" fillId="0" borderId="53" xfId="1" applyNumberFormat="1" applyFont="1" applyBorder="1" applyAlignment="1">
      <alignment horizontal="center" vertical="center"/>
    </xf>
    <xf numFmtId="180" fontId="20" fillId="0" borderId="10" xfId="1" applyNumberFormat="1" applyFont="1" applyBorder="1" applyAlignment="1">
      <alignment horizontal="center" vertical="center"/>
    </xf>
    <xf numFmtId="38" fontId="3" fillId="2" borderId="0" xfId="1" applyNumberFormat="1" applyFont="1" applyFill="1" applyAlignment="1">
      <alignment horizontal="center" vertical="center"/>
    </xf>
    <xf numFmtId="9" fontId="24" fillId="0" borderId="0" xfId="3" applyFont="1" applyFill="1" applyAlignment="1">
      <alignment horizontal="center" vertical="center"/>
    </xf>
    <xf numFmtId="38" fontId="8" fillId="0" borderId="3" xfId="1" applyNumberFormat="1" applyFont="1" applyBorder="1" applyAlignment="1">
      <alignment horizontal="center" vertical="center"/>
    </xf>
    <xf numFmtId="38" fontId="8" fillId="0" borderId="9" xfId="1" applyNumberFormat="1" applyFont="1" applyBorder="1" applyAlignment="1">
      <alignment horizontal="center" vertical="center"/>
    </xf>
    <xf numFmtId="38" fontId="8" fillId="0" borderId="4" xfId="1" applyNumberFormat="1" applyFont="1" applyBorder="1" applyAlignment="1">
      <alignment horizontal="center" vertical="center"/>
    </xf>
    <xf numFmtId="38" fontId="8" fillId="0" borderId="10" xfId="1" applyNumberFormat="1" applyFont="1" applyBorder="1" applyAlignment="1">
      <alignment horizontal="center" vertical="center"/>
    </xf>
    <xf numFmtId="38" fontId="8" fillId="0" borderId="5" xfId="1" applyNumberFormat="1" applyFont="1" applyBorder="1" applyAlignment="1">
      <alignment horizontal="center" vertical="center" wrapText="1"/>
    </xf>
    <xf numFmtId="38" fontId="8" fillId="0" borderId="11" xfId="1" applyNumberFormat="1" applyFont="1" applyBorder="1" applyAlignment="1">
      <alignment horizontal="center" vertical="center" wrapText="1"/>
    </xf>
    <xf numFmtId="38" fontId="8" fillId="0" borderId="4" xfId="1" applyNumberFormat="1" applyFont="1" applyBorder="1" applyAlignment="1">
      <alignment horizontal="center" vertical="center" wrapText="1"/>
    </xf>
    <xf numFmtId="38" fontId="8" fillId="0" borderId="10" xfId="1" applyNumberFormat="1" applyFont="1" applyBorder="1" applyAlignment="1">
      <alignment horizontal="center" vertical="center" wrapText="1"/>
    </xf>
    <xf numFmtId="38" fontId="7" fillId="0" borderId="6" xfId="1" applyNumberFormat="1" applyFont="1" applyBorder="1" applyAlignment="1">
      <alignment horizontal="center" vertical="center" wrapText="1"/>
    </xf>
    <xf numFmtId="38" fontId="7" fillId="0" borderId="12" xfId="1" applyNumberFormat="1" applyFont="1" applyBorder="1" applyAlignment="1">
      <alignment horizontal="center" vertical="center" wrapText="1"/>
    </xf>
    <xf numFmtId="177" fontId="8" fillId="0" borderId="8" xfId="1" applyNumberFormat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center" vertical="center"/>
    </xf>
    <xf numFmtId="49" fontId="20" fillId="0" borderId="28" xfId="1" quotePrefix="1" applyNumberFormat="1" applyFont="1" applyBorder="1" applyAlignment="1">
      <alignment horizontal="center" vertical="center"/>
    </xf>
  </cellXfs>
  <cellStyles count="11">
    <cellStyle name="一般" xfId="0" builtinId="0"/>
    <cellStyle name="一般 2" xfId="2" xr:uid="{8AABE3C2-F2FC-43C6-8518-E9E1C8A19391}"/>
    <cellStyle name="一般 3_FY09 Debit Education and Channel Promotion-Radio" xfId="1" xr:uid="{4AD2F9A8-AE9A-47D3-9156-4D582F13D9F8}"/>
    <cellStyle name="一般 4" xfId="9" xr:uid="{83F1AAA2-4E76-49BE-A0FF-76835B35A0B8}"/>
    <cellStyle name="一般_8803-05RD_TOYOTA2005.06_TOYOTA2006.04" xfId="4" xr:uid="{D97908F6-D595-443B-A7A9-5283C6ED28B4}"/>
    <cellStyle name="一般_ballatine's RD CUE_Visa 2008 debit全國加油站-20秒-OUT(1117)-IR_FY09 Debit Education and Channel Promotion-Radio" xfId="8" xr:uid="{18EFDD20-EECA-4AB9-B665-110C0B76B5B4}"/>
    <cellStyle name="一般_ballatine's RD CUE_渣打 1215-0101(1124)" xfId="7" xr:uid="{FDAB049D-E960-4C88-95BE-5E86B517B00B}"/>
    <cellStyle name="一般_ICBC-新卡上市930701sales_980519 昇恒昌季約150萬成本版_0616-0719-山頂鳥_1000531 山頂鳥80萬成本版" xfId="5" xr:uid="{976B0A4B-82AF-4304-9C2D-72494EB65FB6}"/>
    <cellStyle name="千分位 2" xfId="6" xr:uid="{AECA83B9-8D17-478B-86BF-7E4C4BDCD568}"/>
    <cellStyle name="百分比" xfId="10" builtinId="5"/>
    <cellStyle name="百分比 3" xfId="3" xr:uid="{07683C72-4272-471E-A96F-C4DF05C74F9A}"/>
  </cellStyles>
  <dxfs count="8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dioad/&#23186;&#39636;&#20849;&#29992;/Users/User/AppData/Local/Microsoft/Windows/INetCache/Content.Outlook/CBPR8806/&#23458;&#25142;&#34920;&#21934;/&#21338;&#23821;/honeywell/&#23458;&#25142;&#34920;&#21934;/&#23186;&#39636;&#24235;/&#30041;&#34349;&#39321;/&#23458;&#25142;&#34920;&#21934;/&#21109;&#38598;&#22296;/&#21214;&#21205;&#37096;&#27161;&#26696;/&#29790;&#36842;/&#20844;&#21496;&#34920;&#21934;/Radioad/&#23186;&#39636;&#34389;&#65288;&#30452;&#23458;&#36039;&#26009;&#65294;&#24291;&#21578;&#20844;&#21496;&#65289;/&#26989;&#21209;&#34389;&#30452;&#23458;&#36039;&#26009;/(&#20998;&#39006;)17-&#26381;&#21209;&#39006;/&#20116;&#31119;&#26053;&#36938;/1000310%20&#20116;&#31119;&#22283;&#38555;&#26053;&#34892;&#31038;&#24180;&#32004;&#25104;&#26412;&#29256;.xls" TargetMode="External"/><Relationship Id="rId2" Type="http://schemas.microsoft.com/office/2019/04/relationships/externalLinkLongPath" Target="/Radioad/&#23186;&#39636;&#20849;&#29992;/Users/User/AppData/Local/Microsoft/Windows/INetCache/Content.Outlook/CBPR8806/&#23458;&#25142;&#34920;&#21934;/&#21338;&#23821;/honeywell/&#23458;&#25142;&#34920;&#21934;/&#23186;&#39636;&#24235;/&#30041;&#34349;&#39321;/&#23458;&#25142;&#34920;&#21934;/&#21109;&#38598;&#22296;/&#21214;&#21205;&#37096;&#27161;&#26696;/&#29790;&#36842;/&#20844;&#21496;&#34920;&#21934;/Radioad/&#23186;&#39636;&#34389;&#65288;&#30452;&#23458;&#36039;&#26009;&#65294;&#24291;&#21578;&#20844;&#21496;&#65289;/&#26989;&#21209;&#34389;&#30452;&#23458;&#36039;&#26009;/(&#20998;&#39006;)17-&#26381;&#21209;&#39006;/&#20116;&#31119;&#26053;&#36938;/1000310%20&#20116;&#31119;&#22283;&#38555;&#26053;&#34892;&#31038;&#24180;&#32004;&#25104;&#26412;&#29256;.xls?4AE9043D" TargetMode="External"/><Relationship Id="rId1" Type="http://schemas.openxmlformats.org/officeDocument/2006/relationships/externalLinkPath" Target="file:///\\4AE9043D\1000310%20&#20116;&#31119;&#22283;&#38555;&#26053;&#34892;&#31038;&#24180;&#32004;&#25104;&#26412;&#2925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3月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80C8-EB29-43DD-BD85-DD5A5ACE8BC7}">
  <sheetPr>
    <tabColor rgb="FFFFFF00"/>
    <pageSetUpPr fitToPage="1"/>
  </sheetPr>
  <dimension ref="A1:AB32"/>
  <sheetViews>
    <sheetView showGridLines="0" tabSelected="1" view="pageBreakPreview" zoomScale="35" zoomScaleNormal="60" zoomScaleSheetLayoutView="35" zoomScalePageLayoutView="75" workbookViewId="0">
      <selection activeCell="H11" sqref="H11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7" width="0" style="31" hidden="1" customWidth="1"/>
    <col min="28" max="16384" width="10.3515625" style="31"/>
  </cols>
  <sheetData>
    <row r="1" spans="1:28" s="1" customFormat="1" ht="107.1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63</v>
      </c>
      <c r="F4" s="39"/>
      <c r="G4" s="40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41"/>
      <c r="W4" s="135"/>
      <c r="AA4" s="130"/>
    </row>
    <row r="5" spans="1:28" s="128" customFormat="1" ht="49.45" customHeight="1">
      <c r="A5" s="43" t="s">
        <v>3</v>
      </c>
      <c r="B5" s="43" t="s">
        <v>53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65</v>
      </c>
      <c r="C6" s="44"/>
      <c r="D6" s="45"/>
      <c r="E6" s="45"/>
      <c r="G6" s="48"/>
      <c r="H6" s="51" t="s">
        <v>54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1.65</v>
      </c>
      <c r="AA6" s="131"/>
    </row>
    <row r="7" spans="1:28" s="9" customFormat="1" ht="47" customHeight="1" thickBot="1">
      <c r="A7" s="169" t="s">
        <v>5</v>
      </c>
      <c r="B7" s="171" t="s">
        <v>6</v>
      </c>
      <c r="C7" s="173" t="s">
        <v>7</v>
      </c>
      <c r="D7" s="171" t="s">
        <v>8</v>
      </c>
      <c r="E7" s="171" t="s">
        <v>9</v>
      </c>
      <c r="F7" s="175" t="s">
        <v>10</v>
      </c>
      <c r="G7" s="177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79" t="s">
        <v>12</v>
      </c>
      <c r="W7" s="142">
        <v>3</v>
      </c>
      <c r="AA7" s="132"/>
    </row>
    <row r="8" spans="1:28" s="9" customFormat="1" ht="47" customHeight="1" thickBot="1">
      <c r="A8" s="170"/>
      <c r="B8" s="172"/>
      <c r="C8" s="174"/>
      <c r="D8" s="172"/>
      <c r="E8" s="172"/>
      <c r="F8" s="176"/>
      <c r="G8" s="178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80"/>
      <c r="W8" s="136" t="s">
        <v>51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0" t="s">
        <v>45</v>
      </c>
      <c r="B9" s="54" t="s">
        <v>46</v>
      </c>
      <c r="C9" s="55" t="s">
        <v>48</v>
      </c>
      <c r="D9" s="129" t="s">
        <v>37</v>
      </c>
      <c r="E9" s="152" t="str">
        <f>B4</f>
        <v>30秒</v>
      </c>
      <c r="F9" s="56">
        <f>300000/420*V9*W6</f>
        <v>165000</v>
      </c>
      <c r="G9" s="154">
        <v>300000</v>
      </c>
      <c r="H9" s="57">
        <v>10</v>
      </c>
      <c r="I9" s="58">
        <f t="shared" ref="I9:U11" si="1">H9</f>
        <v>10</v>
      </c>
      <c r="J9" s="58">
        <f>I9</f>
        <v>10</v>
      </c>
      <c r="K9" s="58">
        <f t="shared" si="1"/>
        <v>10</v>
      </c>
      <c r="L9" s="58">
        <f>K9</f>
        <v>10</v>
      </c>
      <c r="M9" s="58">
        <f t="shared" si="1"/>
        <v>10</v>
      </c>
      <c r="N9" s="58">
        <f>M9</f>
        <v>10</v>
      </c>
      <c r="O9" s="58">
        <f>N9</f>
        <v>10</v>
      </c>
      <c r="P9" s="58">
        <f>O9</f>
        <v>10</v>
      </c>
      <c r="Q9" s="58">
        <f>P9</f>
        <v>10</v>
      </c>
      <c r="R9" s="58">
        <f>Q9</f>
        <v>10</v>
      </c>
      <c r="S9" s="58">
        <f>P9</f>
        <v>10</v>
      </c>
      <c r="T9" s="58">
        <f t="shared" si="1"/>
        <v>10</v>
      </c>
      <c r="U9" s="58">
        <f t="shared" si="1"/>
        <v>10</v>
      </c>
      <c r="V9" s="59">
        <f t="shared" ref="V9:V16" si="2">SUM(H9:U9)</f>
        <v>140</v>
      </c>
      <c r="W9" s="137">
        <f>250000/420*W6*V9</f>
        <v>137499.99999999997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1"/>
      <c r="B10" s="60" t="s">
        <v>47</v>
      </c>
      <c r="C10" s="61" t="s">
        <v>49</v>
      </c>
      <c r="D10" s="133" t="s">
        <v>38</v>
      </c>
      <c r="E10" s="153"/>
      <c r="F10" s="62" t="s">
        <v>39</v>
      </c>
      <c r="G10" s="155"/>
      <c r="H10" s="63">
        <v>18</v>
      </c>
      <c r="I10" s="64">
        <f>H10</f>
        <v>18</v>
      </c>
      <c r="J10" s="64">
        <v>17</v>
      </c>
      <c r="K10" s="64">
        <f t="shared" si="1"/>
        <v>17</v>
      </c>
      <c r="L10" s="64">
        <f>K10</f>
        <v>17</v>
      </c>
      <c r="M10" s="64">
        <f t="shared" si="1"/>
        <v>17</v>
      </c>
      <c r="N10" s="64">
        <f>M10</f>
        <v>17</v>
      </c>
      <c r="O10" s="64">
        <f t="shared" si="1"/>
        <v>17</v>
      </c>
      <c r="P10" s="64">
        <f t="shared" ref="P10:R11" si="3">O10</f>
        <v>17</v>
      </c>
      <c r="Q10" s="64">
        <f t="shared" si="3"/>
        <v>17</v>
      </c>
      <c r="R10" s="64">
        <f>Q10</f>
        <v>17</v>
      </c>
      <c r="S10" s="64">
        <f>R10</f>
        <v>17</v>
      </c>
      <c r="T10" s="64">
        <f t="shared" si="1"/>
        <v>17</v>
      </c>
      <c r="U10" s="64">
        <f>T10</f>
        <v>17</v>
      </c>
      <c r="V10" s="65">
        <f t="shared" si="2"/>
        <v>240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57" t="s">
        <v>64</v>
      </c>
      <c r="B11" s="66" t="s">
        <v>66</v>
      </c>
      <c r="C11" s="67">
        <v>1209</v>
      </c>
      <c r="D11" s="181" t="s">
        <v>67</v>
      </c>
      <c r="E11" s="164" t="str">
        <f>B4</f>
        <v>30秒</v>
      </c>
      <c r="F11" s="68">
        <f>150000/1008*V11*W7</f>
        <v>99999.999999999985</v>
      </c>
      <c r="G11" s="155"/>
      <c r="H11" s="69">
        <v>16</v>
      </c>
      <c r="I11" s="70">
        <f>H11</f>
        <v>16</v>
      </c>
      <c r="J11" s="70">
        <f t="shared" si="1"/>
        <v>16</v>
      </c>
      <c r="K11" s="70">
        <f t="shared" si="1"/>
        <v>16</v>
      </c>
      <c r="L11" s="70">
        <f t="shared" si="1"/>
        <v>16</v>
      </c>
      <c r="M11" s="70">
        <f t="shared" si="1"/>
        <v>16</v>
      </c>
      <c r="N11" s="70">
        <f t="shared" si="1"/>
        <v>16</v>
      </c>
      <c r="O11" s="70">
        <f>N11</f>
        <v>16</v>
      </c>
      <c r="P11" s="70">
        <f>O11</f>
        <v>16</v>
      </c>
      <c r="Q11" s="70">
        <f t="shared" si="3"/>
        <v>16</v>
      </c>
      <c r="R11" s="70">
        <f>Q11</f>
        <v>16</v>
      </c>
      <c r="S11" s="70">
        <f>R11</f>
        <v>16</v>
      </c>
      <c r="T11" s="70">
        <f t="shared" si="1"/>
        <v>16</v>
      </c>
      <c r="U11" s="70">
        <f t="shared" si="1"/>
        <v>16</v>
      </c>
      <c r="V11" s="71">
        <f t="shared" si="2"/>
        <v>224</v>
      </c>
      <c r="W11" s="137">
        <f>120000/504*W7*V11</f>
        <v>160000</v>
      </c>
      <c r="X11" s="33" t="s">
        <v>25</v>
      </c>
      <c r="Y11" s="34">
        <f t="shared" ref="Y11:Y16" si="4">V11*C11</f>
        <v>270816</v>
      </c>
      <c r="Z11" s="35">
        <f t="shared" ref="Z11:Z16" si="5">1000*(C11/24/6)*V11</f>
        <v>1880666.6666666667</v>
      </c>
    </row>
    <row r="12" spans="1:28" s="13" customFormat="1" ht="54" customHeight="1" thickBot="1">
      <c r="A12" s="158"/>
      <c r="B12" s="60" t="s">
        <v>26</v>
      </c>
      <c r="C12" s="72">
        <v>660</v>
      </c>
      <c r="D12" s="161"/>
      <c r="E12" s="153"/>
      <c r="F12" s="62">
        <f>120000/1008*V11*W7</f>
        <v>80000</v>
      </c>
      <c r="G12" s="155"/>
      <c r="H12" s="63">
        <f>H11</f>
        <v>16</v>
      </c>
      <c r="I12" s="64">
        <f>I11</f>
        <v>16</v>
      </c>
      <c r="J12" s="64">
        <f t="shared" ref="J12:U12" si="6">J11</f>
        <v>16</v>
      </c>
      <c r="K12" s="64">
        <f t="shared" si="6"/>
        <v>16</v>
      </c>
      <c r="L12" s="64">
        <f t="shared" si="6"/>
        <v>16</v>
      </c>
      <c r="M12" s="64">
        <f t="shared" si="6"/>
        <v>16</v>
      </c>
      <c r="N12" s="64">
        <f t="shared" si="6"/>
        <v>16</v>
      </c>
      <c r="O12" s="64">
        <f t="shared" si="6"/>
        <v>16</v>
      </c>
      <c r="P12" s="64">
        <f t="shared" si="6"/>
        <v>16</v>
      </c>
      <c r="Q12" s="64">
        <f>Q11</f>
        <v>16</v>
      </c>
      <c r="R12" s="64">
        <f>R11</f>
        <v>16</v>
      </c>
      <c r="S12" s="64">
        <f t="shared" si="6"/>
        <v>16</v>
      </c>
      <c r="T12" s="64">
        <f t="shared" si="6"/>
        <v>16</v>
      </c>
      <c r="U12" s="64">
        <f t="shared" si="6"/>
        <v>16</v>
      </c>
      <c r="V12" s="65">
        <f t="shared" si="2"/>
        <v>224</v>
      </c>
      <c r="W12" s="137"/>
      <c r="X12" s="33" t="s">
        <v>25</v>
      </c>
      <c r="Y12" s="34">
        <f t="shared" si="4"/>
        <v>147840</v>
      </c>
      <c r="Z12" s="35">
        <f t="shared" si="5"/>
        <v>1026666.6666666666</v>
      </c>
    </row>
    <row r="13" spans="1:28" s="13" customFormat="1" ht="54" customHeight="1" thickBot="1">
      <c r="A13" s="158"/>
      <c r="B13" s="60" t="s">
        <v>41</v>
      </c>
      <c r="C13" s="72">
        <v>579</v>
      </c>
      <c r="D13" s="161"/>
      <c r="E13" s="153"/>
      <c r="F13" s="62">
        <f>90000/1008*V13*W7</f>
        <v>60000</v>
      </c>
      <c r="G13" s="155"/>
      <c r="H13" s="63">
        <f>H11</f>
        <v>16</v>
      </c>
      <c r="I13" s="64">
        <f>I11</f>
        <v>16</v>
      </c>
      <c r="J13" s="64">
        <f t="shared" ref="J13:U13" si="7">J11</f>
        <v>16</v>
      </c>
      <c r="K13" s="64">
        <f t="shared" si="7"/>
        <v>16</v>
      </c>
      <c r="L13" s="64">
        <f t="shared" si="7"/>
        <v>16</v>
      </c>
      <c r="M13" s="64">
        <f t="shared" si="7"/>
        <v>16</v>
      </c>
      <c r="N13" s="64">
        <f t="shared" si="7"/>
        <v>16</v>
      </c>
      <c r="O13" s="64">
        <f t="shared" si="7"/>
        <v>16</v>
      </c>
      <c r="P13" s="64">
        <f t="shared" si="7"/>
        <v>16</v>
      </c>
      <c r="Q13" s="64">
        <f>Q11</f>
        <v>16</v>
      </c>
      <c r="R13" s="64">
        <f>R11</f>
        <v>16</v>
      </c>
      <c r="S13" s="64">
        <f t="shared" si="7"/>
        <v>16</v>
      </c>
      <c r="T13" s="64">
        <f t="shared" si="7"/>
        <v>16</v>
      </c>
      <c r="U13" s="64">
        <f t="shared" si="7"/>
        <v>16</v>
      </c>
      <c r="V13" s="65">
        <f t="shared" si="2"/>
        <v>224</v>
      </c>
      <c r="W13" s="137"/>
      <c r="X13" s="33" t="s">
        <v>25</v>
      </c>
      <c r="Y13" s="34">
        <f t="shared" si="4"/>
        <v>129696</v>
      </c>
      <c r="Z13" s="35">
        <f t="shared" si="5"/>
        <v>900666.66666666663</v>
      </c>
    </row>
    <row r="14" spans="1:28" s="13" customFormat="1" ht="54" customHeight="1" thickBot="1">
      <c r="A14" s="159"/>
      <c r="B14" s="60" t="s">
        <v>43</v>
      </c>
      <c r="C14" s="72">
        <v>380</v>
      </c>
      <c r="D14" s="162"/>
      <c r="E14" s="165"/>
      <c r="F14" s="62">
        <f>75000/1008*V14*W7</f>
        <v>49999.999999999993</v>
      </c>
      <c r="G14" s="155"/>
      <c r="H14" s="63">
        <f t="shared" ref="H14:U15" si="8">H11</f>
        <v>16</v>
      </c>
      <c r="I14" s="64">
        <f t="shared" si="8"/>
        <v>16</v>
      </c>
      <c r="J14" s="64">
        <f t="shared" si="8"/>
        <v>16</v>
      </c>
      <c r="K14" s="64">
        <f t="shared" si="8"/>
        <v>16</v>
      </c>
      <c r="L14" s="64">
        <f t="shared" si="8"/>
        <v>16</v>
      </c>
      <c r="M14" s="64">
        <f t="shared" si="8"/>
        <v>16</v>
      </c>
      <c r="N14" s="64">
        <f t="shared" si="8"/>
        <v>16</v>
      </c>
      <c r="O14" s="64">
        <f t="shared" si="8"/>
        <v>16</v>
      </c>
      <c r="P14" s="64">
        <f t="shared" si="8"/>
        <v>16</v>
      </c>
      <c r="Q14" s="64">
        <f>Q11</f>
        <v>16</v>
      </c>
      <c r="R14" s="64">
        <f>R11</f>
        <v>16</v>
      </c>
      <c r="S14" s="64">
        <f t="shared" si="8"/>
        <v>16</v>
      </c>
      <c r="T14" s="64">
        <f t="shared" si="8"/>
        <v>16</v>
      </c>
      <c r="U14" s="64">
        <f t="shared" si="8"/>
        <v>16</v>
      </c>
      <c r="V14" s="65">
        <f t="shared" si="2"/>
        <v>224</v>
      </c>
      <c r="W14" s="137"/>
      <c r="X14" s="33" t="s">
        <v>25</v>
      </c>
      <c r="Y14" s="34">
        <f t="shared" si="4"/>
        <v>85120</v>
      </c>
      <c r="Z14" s="35">
        <f t="shared" si="5"/>
        <v>591111.11111111101</v>
      </c>
    </row>
    <row r="15" spans="1:28" s="13" customFormat="1" ht="54" customHeight="1" thickBot="1">
      <c r="A15" s="159"/>
      <c r="B15" s="60" t="s">
        <v>42</v>
      </c>
      <c r="C15" s="72">
        <v>428</v>
      </c>
      <c r="D15" s="162"/>
      <c r="E15" s="165"/>
      <c r="F15" s="62">
        <f>75000/1008*V15*W7</f>
        <v>49999.999999999993</v>
      </c>
      <c r="G15" s="155"/>
      <c r="H15" s="63">
        <f t="shared" si="8"/>
        <v>16</v>
      </c>
      <c r="I15" s="64">
        <f t="shared" si="8"/>
        <v>16</v>
      </c>
      <c r="J15" s="64">
        <f t="shared" si="8"/>
        <v>16</v>
      </c>
      <c r="K15" s="64">
        <f t="shared" si="8"/>
        <v>16</v>
      </c>
      <c r="L15" s="64">
        <f t="shared" si="8"/>
        <v>16</v>
      </c>
      <c r="M15" s="64">
        <f t="shared" si="8"/>
        <v>16</v>
      </c>
      <c r="N15" s="64">
        <f t="shared" si="8"/>
        <v>16</v>
      </c>
      <c r="O15" s="64">
        <f t="shared" si="8"/>
        <v>16</v>
      </c>
      <c r="P15" s="64">
        <f t="shared" si="8"/>
        <v>16</v>
      </c>
      <c r="Q15" s="64">
        <f>Q11</f>
        <v>16</v>
      </c>
      <c r="R15" s="64">
        <f>R11</f>
        <v>16</v>
      </c>
      <c r="S15" s="64">
        <f t="shared" si="8"/>
        <v>16</v>
      </c>
      <c r="T15" s="64">
        <f t="shared" si="8"/>
        <v>16</v>
      </c>
      <c r="U15" s="64">
        <f t="shared" si="8"/>
        <v>16</v>
      </c>
      <c r="V15" s="65">
        <f t="shared" si="2"/>
        <v>224</v>
      </c>
      <c r="W15" s="137"/>
      <c r="X15" s="33" t="s">
        <v>25</v>
      </c>
      <c r="Y15" s="34">
        <f t="shared" si="4"/>
        <v>95872</v>
      </c>
      <c r="Z15" s="35">
        <f t="shared" si="5"/>
        <v>665777.77777777764</v>
      </c>
    </row>
    <row r="16" spans="1:28" s="36" customFormat="1" ht="54" customHeight="1" thickBot="1">
      <c r="A16" s="160"/>
      <c r="B16" s="73" t="s">
        <v>44</v>
      </c>
      <c r="C16" s="74">
        <v>92</v>
      </c>
      <c r="D16" s="163"/>
      <c r="E16" s="166"/>
      <c r="F16" s="75">
        <f>45000/1008*V16*W7</f>
        <v>30000</v>
      </c>
      <c r="G16" s="156"/>
      <c r="H16" s="76">
        <f>H11</f>
        <v>16</v>
      </c>
      <c r="I16" s="77">
        <f>I11</f>
        <v>16</v>
      </c>
      <c r="J16" s="77">
        <f t="shared" ref="J16:U16" si="9">J11</f>
        <v>16</v>
      </c>
      <c r="K16" s="77">
        <f t="shared" si="9"/>
        <v>16</v>
      </c>
      <c r="L16" s="77">
        <f t="shared" si="9"/>
        <v>16</v>
      </c>
      <c r="M16" s="77">
        <f t="shared" si="9"/>
        <v>16</v>
      </c>
      <c r="N16" s="77">
        <f t="shared" si="9"/>
        <v>16</v>
      </c>
      <c r="O16" s="77">
        <f t="shared" si="9"/>
        <v>16</v>
      </c>
      <c r="P16" s="77">
        <f t="shared" si="9"/>
        <v>16</v>
      </c>
      <c r="Q16" s="77">
        <f>Q11</f>
        <v>16</v>
      </c>
      <c r="R16" s="77">
        <f>R11</f>
        <v>16</v>
      </c>
      <c r="S16" s="77">
        <f t="shared" si="9"/>
        <v>16</v>
      </c>
      <c r="T16" s="77">
        <f t="shared" si="9"/>
        <v>16</v>
      </c>
      <c r="U16" s="77">
        <f t="shared" si="9"/>
        <v>16</v>
      </c>
      <c r="V16" s="78">
        <f t="shared" si="2"/>
        <v>224</v>
      </c>
      <c r="W16" s="137"/>
      <c r="X16" s="33" t="s">
        <v>25</v>
      </c>
      <c r="Y16" s="34">
        <f t="shared" si="4"/>
        <v>20608</v>
      </c>
      <c r="Z16" s="35">
        <f t="shared" si="5"/>
        <v>143111.11111111112</v>
      </c>
      <c r="AA16" s="37"/>
      <c r="AB16" s="37"/>
    </row>
    <row r="17" spans="1:26" s="17" customFormat="1" ht="52" customHeight="1" thickBot="1">
      <c r="A17" s="145"/>
      <c r="B17" s="146"/>
      <c r="C17" s="79"/>
      <c r="D17" s="80"/>
      <c r="E17" s="81" t="s">
        <v>27</v>
      </c>
      <c r="F17" s="82">
        <f>SUM(F9:F16)</f>
        <v>535000</v>
      </c>
      <c r="G17" s="83">
        <f>SUM(G9:G13)</f>
        <v>300000</v>
      </c>
      <c r="H17" s="84">
        <f t="shared" ref="H17:U17" si="10">SUM(H9:H16)</f>
        <v>124</v>
      </c>
      <c r="I17" s="84">
        <f t="shared" si="10"/>
        <v>124</v>
      </c>
      <c r="J17" s="84">
        <f t="shared" si="10"/>
        <v>123</v>
      </c>
      <c r="K17" s="84">
        <f t="shared" si="10"/>
        <v>123</v>
      </c>
      <c r="L17" s="84">
        <f t="shared" si="10"/>
        <v>123</v>
      </c>
      <c r="M17" s="84">
        <f t="shared" si="10"/>
        <v>123</v>
      </c>
      <c r="N17" s="84">
        <f t="shared" si="10"/>
        <v>123</v>
      </c>
      <c r="O17" s="84">
        <f t="shared" si="10"/>
        <v>123</v>
      </c>
      <c r="P17" s="84">
        <f t="shared" si="10"/>
        <v>123</v>
      </c>
      <c r="Q17" s="84">
        <f t="shared" si="10"/>
        <v>123</v>
      </c>
      <c r="R17" s="84">
        <f t="shared" si="10"/>
        <v>123</v>
      </c>
      <c r="S17" s="84">
        <f t="shared" si="10"/>
        <v>123</v>
      </c>
      <c r="T17" s="84">
        <f t="shared" si="10"/>
        <v>123</v>
      </c>
      <c r="U17" s="84">
        <f t="shared" si="10"/>
        <v>123</v>
      </c>
      <c r="V17" s="85">
        <f>SUM(V7:V16)</f>
        <v>1724</v>
      </c>
      <c r="W17" s="138">
        <f>SUM(W9:W16)</f>
        <v>297500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28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29</v>
      </c>
      <c r="G19" s="95">
        <f>SUM(G17:G18)*5%</f>
        <v>15000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30</v>
      </c>
      <c r="G20" s="100">
        <f>SUM(G17:G19)</f>
        <v>315000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31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55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32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33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40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56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57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47" t="s">
        <v>58</v>
      </c>
      <c r="B29" s="147"/>
      <c r="C29" s="147"/>
      <c r="D29" s="122"/>
      <c r="E29" s="122"/>
      <c r="F29" s="122"/>
      <c r="G29" s="122"/>
      <c r="H29" s="123"/>
      <c r="I29" s="148" t="s">
        <v>34</v>
      </c>
      <c r="J29" s="148"/>
      <c r="K29" s="148"/>
      <c r="L29" s="149">
        <f>B3</f>
        <v>0</v>
      </c>
      <c r="M29" s="149"/>
      <c r="N29" s="149"/>
      <c r="O29" s="149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47" t="s">
        <v>59</v>
      </c>
      <c r="B30" s="147"/>
      <c r="C30" s="147"/>
      <c r="D30" s="122"/>
      <c r="E30" s="122"/>
      <c r="F30" s="122"/>
      <c r="G30" s="122"/>
      <c r="H30" s="124"/>
      <c r="I30" s="144" t="s">
        <v>35</v>
      </c>
      <c r="J30" s="144"/>
      <c r="K30" s="144"/>
      <c r="L30" s="144"/>
      <c r="M30" s="144"/>
      <c r="N30" s="144"/>
      <c r="W30" s="140"/>
    </row>
    <row r="31" spans="1:26" s="125" customFormat="1" ht="41.45" customHeight="1">
      <c r="A31" s="143" t="s">
        <v>60</v>
      </c>
      <c r="B31" s="143"/>
      <c r="C31" s="143"/>
      <c r="D31" s="123"/>
      <c r="E31" s="123"/>
      <c r="F31" s="123"/>
      <c r="G31" s="123"/>
      <c r="H31" s="124"/>
      <c r="I31" s="144" t="s">
        <v>36</v>
      </c>
      <c r="J31" s="144"/>
      <c r="K31" s="144"/>
      <c r="L31" s="144"/>
      <c r="M31" s="144"/>
      <c r="N31" s="144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  <mergeCell ref="A9:A10"/>
    <mergeCell ref="E9:E10"/>
    <mergeCell ref="G9:G16"/>
    <mergeCell ref="A11:A16"/>
    <mergeCell ref="D11:D16"/>
    <mergeCell ref="E11:E16"/>
    <mergeCell ref="A31:C31"/>
    <mergeCell ref="I31:N31"/>
    <mergeCell ref="A17:B17"/>
    <mergeCell ref="A29:C29"/>
    <mergeCell ref="I29:K29"/>
    <mergeCell ref="L29:O29"/>
    <mergeCell ref="A30:C30"/>
    <mergeCell ref="I30:N30"/>
  </mergeCells>
  <phoneticPr fontId="4" type="noConversion"/>
  <conditionalFormatting sqref="H8:U8">
    <cfRule type="containsText" dxfId="7" priority="1" operator="containsText" text="日">
      <formula>NOT(ISERROR(SEARCH("日",H8)))</formula>
    </cfRule>
    <cfRule type="containsText" dxfId="6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0F93-63A7-4F37-8907-BF21DF7D2D33}">
  <sheetPr>
    <tabColor rgb="FFFFFF00"/>
    <pageSetUpPr fitToPage="1"/>
  </sheetPr>
  <dimension ref="A1:AB32"/>
  <sheetViews>
    <sheetView showGridLines="0" view="pageBreakPreview" zoomScale="35" zoomScaleNormal="60" zoomScaleSheetLayoutView="35" zoomScalePageLayoutView="75" workbookViewId="0">
      <selection activeCell="P11" sqref="P11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9" width="0" style="31" hidden="1" customWidth="1"/>
    <col min="30" max="16384" width="10.3515625" style="31"/>
  </cols>
  <sheetData>
    <row r="1" spans="1:28" s="1" customFormat="1" ht="107.1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52</v>
      </c>
      <c r="F4" s="39"/>
      <c r="G4" s="40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41"/>
      <c r="W4" s="135"/>
      <c r="AA4" s="130"/>
    </row>
    <row r="5" spans="1:28" s="128" customFormat="1" ht="49.45" customHeight="1">
      <c r="A5" s="43" t="s">
        <v>3</v>
      </c>
      <c r="B5" s="43" t="s">
        <v>53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65</v>
      </c>
      <c r="C6" s="44"/>
      <c r="D6" s="45"/>
      <c r="E6" s="45"/>
      <c r="G6" s="48"/>
      <c r="H6" s="51" t="s">
        <v>54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1</v>
      </c>
      <c r="AA6" s="131"/>
    </row>
    <row r="7" spans="1:28" s="9" customFormat="1" ht="47" customHeight="1" thickBot="1">
      <c r="A7" s="169" t="s">
        <v>5</v>
      </c>
      <c r="B7" s="171" t="s">
        <v>6</v>
      </c>
      <c r="C7" s="173" t="s">
        <v>7</v>
      </c>
      <c r="D7" s="171" t="s">
        <v>8</v>
      </c>
      <c r="E7" s="171" t="s">
        <v>9</v>
      </c>
      <c r="F7" s="175" t="s">
        <v>10</v>
      </c>
      <c r="G7" s="177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79" t="s">
        <v>12</v>
      </c>
      <c r="W7" s="142">
        <v>2</v>
      </c>
      <c r="AA7" s="132"/>
    </row>
    <row r="8" spans="1:28" s="9" customFormat="1" ht="47" customHeight="1" thickBot="1">
      <c r="A8" s="170"/>
      <c r="B8" s="172"/>
      <c r="C8" s="174"/>
      <c r="D8" s="172"/>
      <c r="E8" s="172"/>
      <c r="F8" s="176"/>
      <c r="G8" s="178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80"/>
      <c r="W8" s="136" t="s">
        <v>51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0" t="s">
        <v>45</v>
      </c>
      <c r="B9" s="54" t="s">
        <v>46</v>
      </c>
      <c r="C9" s="55" t="s">
        <v>48</v>
      </c>
      <c r="D9" s="129" t="s">
        <v>37</v>
      </c>
      <c r="E9" s="152" t="s">
        <v>50</v>
      </c>
      <c r="F9" s="56">
        <f>300000/420*V9*W6</f>
        <v>140000</v>
      </c>
      <c r="G9" s="154">
        <v>300000</v>
      </c>
      <c r="H9" s="57">
        <v>14</v>
      </c>
      <c r="I9" s="58">
        <f t="shared" ref="I9:U10" si="1">H9</f>
        <v>14</v>
      </c>
      <c r="J9" s="58">
        <f>I9</f>
        <v>14</v>
      </c>
      <c r="K9" s="58">
        <f t="shared" si="1"/>
        <v>14</v>
      </c>
      <c r="L9" s="58">
        <f>K9</f>
        <v>14</v>
      </c>
      <c r="M9" s="58">
        <f t="shared" si="1"/>
        <v>14</v>
      </c>
      <c r="N9" s="58">
        <f>M9</f>
        <v>14</v>
      </c>
      <c r="O9" s="58">
        <f>N9</f>
        <v>14</v>
      </c>
      <c r="P9" s="58">
        <f>O9</f>
        <v>14</v>
      </c>
      <c r="Q9" s="58">
        <f>P9</f>
        <v>14</v>
      </c>
      <c r="R9" s="58">
        <f>Q9</f>
        <v>14</v>
      </c>
      <c r="S9" s="58">
        <f>P9</f>
        <v>14</v>
      </c>
      <c r="T9" s="58">
        <f t="shared" si="1"/>
        <v>14</v>
      </c>
      <c r="U9" s="58">
        <f t="shared" si="1"/>
        <v>14</v>
      </c>
      <c r="V9" s="59">
        <f t="shared" ref="V9:V16" si="2">SUM(H9:U9)</f>
        <v>196</v>
      </c>
      <c r="W9" s="137">
        <f>250000/420*V9</f>
        <v>116666.66666666666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1"/>
      <c r="B10" s="60" t="s">
        <v>47</v>
      </c>
      <c r="C10" s="61" t="s">
        <v>49</v>
      </c>
      <c r="D10" s="133" t="s">
        <v>38</v>
      </c>
      <c r="E10" s="153"/>
      <c r="F10" s="62" t="s">
        <v>39</v>
      </c>
      <c r="G10" s="155"/>
      <c r="H10" s="63">
        <v>24</v>
      </c>
      <c r="I10" s="64">
        <f>H10</f>
        <v>24</v>
      </c>
      <c r="J10" s="64">
        <f>I10</f>
        <v>24</v>
      </c>
      <c r="K10" s="64">
        <f t="shared" si="1"/>
        <v>24</v>
      </c>
      <c r="L10" s="64">
        <f t="shared" ref="L10" si="3">K10</f>
        <v>24</v>
      </c>
      <c r="M10" s="64">
        <f t="shared" si="1"/>
        <v>24</v>
      </c>
      <c r="N10" s="64">
        <f>M10</f>
        <v>24</v>
      </c>
      <c r="O10" s="64">
        <f t="shared" si="1"/>
        <v>24</v>
      </c>
      <c r="P10" s="64">
        <f>O10</f>
        <v>24</v>
      </c>
      <c r="Q10" s="64">
        <f>P10</f>
        <v>24</v>
      </c>
      <c r="R10" s="64">
        <f>Q10</f>
        <v>24</v>
      </c>
      <c r="S10" s="64">
        <f t="shared" ref="S10" si="4">P10</f>
        <v>24</v>
      </c>
      <c r="T10" s="64">
        <f t="shared" si="1"/>
        <v>24</v>
      </c>
      <c r="U10" s="64">
        <f>T10</f>
        <v>24</v>
      </c>
      <c r="V10" s="65">
        <f t="shared" si="2"/>
        <v>336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57" t="s">
        <v>64</v>
      </c>
      <c r="B11" s="66" t="s">
        <v>66</v>
      </c>
      <c r="C11" s="67">
        <v>1209</v>
      </c>
      <c r="D11" s="181" t="s">
        <v>67</v>
      </c>
      <c r="E11" s="164" t="s">
        <v>50</v>
      </c>
      <c r="F11" s="68">
        <f>150000/1008*V11*W7</f>
        <v>114583.33333333333</v>
      </c>
      <c r="G11" s="155"/>
      <c r="H11" s="69">
        <v>28</v>
      </c>
      <c r="I11" s="70">
        <f>H11</f>
        <v>28</v>
      </c>
      <c r="J11" s="70">
        <f t="shared" ref="J11:U11" si="5">I11</f>
        <v>28</v>
      </c>
      <c r="K11" s="70">
        <f t="shared" si="5"/>
        <v>28</v>
      </c>
      <c r="L11" s="70">
        <f t="shared" si="5"/>
        <v>28</v>
      </c>
      <c r="M11" s="70">
        <f t="shared" si="5"/>
        <v>28</v>
      </c>
      <c r="N11" s="70">
        <f t="shared" si="5"/>
        <v>28</v>
      </c>
      <c r="O11" s="70">
        <v>27</v>
      </c>
      <c r="P11" s="70">
        <f>O11</f>
        <v>27</v>
      </c>
      <c r="Q11" s="70">
        <f>P11</f>
        <v>27</v>
      </c>
      <c r="R11" s="70">
        <f>Q11</f>
        <v>27</v>
      </c>
      <c r="S11" s="70">
        <f>R11</f>
        <v>27</v>
      </c>
      <c r="T11" s="70">
        <f t="shared" si="5"/>
        <v>27</v>
      </c>
      <c r="U11" s="70">
        <f t="shared" si="5"/>
        <v>27</v>
      </c>
      <c r="V11" s="71">
        <f t="shared" si="2"/>
        <v>385</v>
      </c>
      <c r="W11" s="137">
        <f>120000/504*W7*V11</f>
        <v>183333.33333333334</v>
      </c>
      <c r="X11" s="33" t="s">
        <v>25</v>
      </c>
      <c r="Y11" s="34">
        <f t="shared" ref="Y11:Y16" si="6">V11*C11</f>
        <v>465465</v>
      </c>
      <c r="Z11" s="35">
        <f t="shared" ref="Z11:Z16" si="7">1000*(C11/24/6)*V11</f>
        <v>3232395.8333333335</v>
      </c>
    </row>
    <row r="12" spans="1:28" s="13" customFormat="1" ht="54" customHeight="1" thickBot="1">
      <c r="A12" s="158"/>
      <c r="B12" s="60" t="s">
        <v>26</v>
      </c>
      <c r="C12" s="72">
        <v>660</v>
      </c>
      <c r="D12" s="161"/>
      <c r="E12" s="153"/>
      <c r="F12" s="62">
        <f>120000/1008*V11*W7</f>
        <v>91666.666666666672</v>
      </c>
      <c r="G12" s="155"/>
      <c r="H12" s="63">
        <f>H11</f>
        <v>28</v>
      </c>
      <c r="I12" s="64">
        <f>I11</f>
        <v>28</v>
      </c>
      <c r="J12" s="64">
        <f t="shared" ref="J12:U12" si="8">J11</f>
        <v>28</v>
      </c>
      <c r="K12" s="64">
        <f t="shared" si="8"/>
        <v>28</v>
      </c>
      <c r="L12" s="64">
        <f t="shared" si="8"/>
        <v>28</v>
      </c>
      <c r="M12" s="64">
        <f t="shared" si="8"/>
        <v>28</v>
      </c>
      <c r="N12" s="64">
        <f t="shared" si="8"/>
        <v>28</v>
      </c>
      <c r="O12" s="64">
        <f t="shared" si="8"/>
        <v>27</v>
      </c>
      <c r="P12" s="64">
        <f t="shared" si="8"/>
        <v>27</v>
      </c>
      <c r="Q12" s="64">
        <f>Q11</f>
        <v>27</v>
      </c>
      <c r="R12" s="64">
        <f>R11</f>
        <v>27</v>
      </c>
      <c r="S12" s="64">
        <f t="shared" si="8"/>
        <v>27</v>
      </c>
      <c r="T12" s="64">
        <f t="shared" si="8"/>
        <v>27</v>
      </c>
      <c r="U12" s="64">
        <f t="shared" si="8"/>
        <v>27</v>
      </c>
      <c r="V12" s="65">
        <f t="shared" si="2"/>
        <v>385</v>
      </c>
      <c r="W12" s="137"/>
      <c r="X12" s="33" t="s">
        <v>25</v>
      </c>
      <c r="Y12" s="34">
        <f t="shared" si="6"/>
        <v>254100</v>
      </c>
      <c r="Z12" s="35">
        <f t="shared" si="7"/>
        <v>1764583.3333333333</v>
      </c>
    </row>
    <row r="13" spans="1:28" s="13" customFormat="1" ht="54" customHeight="1" thickBot="1">
      <c r="A13" s="158"/>
      <c r="B13" s="60" t="s">
        <v>41</v>
      </c>
      <c r="C13" s="72">
        <v>579</v>
      </c>
      <c r="D13" s="161"/>
      <c r="E13" s="153"/>
      <c r="F13" s="62">
        <f>90000/1008*V13*W7</f>
        <v>68750</v>
      </c>
      <c r="G13" s="155"/>
      <c r="H13" s="63">
        <f>H11</f>
        <v>28</v>
      </c>
      <c r="I13" s="64">
        <f>I11</f>
        <v>28</v>
      </c>
      <c r="J13" s="64">
        <f t="shared" ref="J13:U13" si="9">J11</f>
        <v>28</v>
      </c>
      <c r="K13" s="64">
        <f t="shared" si="9"/>
        <v>28</v>
      </c>
      <c r="L13" s="64">
        <f t="shared" si="9"/>
        <v>28</v>
      </c>
      <c r="M13" s="64">
        <f t="shared" si="9"/>
        <v>28</v>
      </c>
      <c r="N13" s="64">
        <f t="shared" si="9"/>
        <v>28</v>
      </c>
      <c r="O13" s="64">
        <f t="shared" si="9"/>
        <v>27</v>
      </c>
      <c r="P13" s="64">
        <f t="shared" si="9"/>
        <v>27</v>
      </c>
      <c r="Q13" s="64">
        <f>Q11</f>
        <v>27</v>
      </c>
      <c r="R13" s="64">
        <f>R11</f>
        <v>27</v>
      </c>
      <c r="S13" s="64">
        <f t="shared" si="9"/>
        <v>27</v>
      </c>
      <c r="T13" s="64">
        <f t="shared" si="9"/>
        <v>27</v>
      </c>
      <c r="U13" s="64">
        <f t="shared" si="9"/>
        <v>27</v>
      </c>
      <c r="V13" s="65">
        <f t="shared" si="2"/>
        <v>385</v>
      </c>
      <c r="W13" s="137"/>
      <c r="X13" s="33" t="s">
        <v>25</v>
      </c>
      <c r="Y13" s="34">
        <f t="shared" si="6"/>
        <v>222915</v>
      </c>
      <c r="Z13" s="35">
        <f t="shared" si="7"/>
        <v>1548020.8333333333</v>
      </c>
    </row>
    <row r="14" spans="1:28" s="13" customFormat="1" ht="54" customHeight="1" thickBot="1">
      <c r="A14" s="159"/>
      <c r="B14" s="60" t="s">
        <v>43</v>
      </c>
      <c r="C14" s="72">
        <v>380</v>
      </c>
      <c r="D14" s="162"/>
      <c r="E14" s="165"/>
      <c r="F14" s="62">
        <f>75000/1008*V14*W7</f>
        <v>57291.666666666664</v>
      </c>
      <c r="G14" s="155"/>
      <c r="H14" s="63">
        <f t="shared" ref="H14:U14" si="10">H11</f>
        <v>28</v>
      </c>
      <c r="I14" s="64">
        <f t="shared" si="10"/>
        <v>28</v>
      </c>
      <c r="J14" s="64">
        <f t="shared" si="10"/>
        <v>28</v>
      </c>
      <c r="K14" s="64">
        <f t="shared" si="10"/>
        <v>28</v>
      </c>
      <c r="L14" s="64">
        <f t="shared" si="10"/>
        <v>28</v>
      </c>
      <c r="M14" s="64">
        <f t="shared" si="10"/>
        <v>28</v>
      </c>
      <c r="N14" s="64">
        <f t="shared" si="10"/>
        <v>28</v>
      </c>
      <c r="O14" s="64">
        <f t="shared" si="10"/>
        <v>27</v>
      </c>
      <c r="P14" s="64">
        <f t="shared" si="10"/>
        <v>27</v>
      </c>
      <c r="Q14" s="64">
        <f>Q11</f>
        <v>27</v>
      </c>
      <c r="R14" s="64">
        <f>R11</f>
        <v>27</v>
      </c>
      <c r="S14" s="64">
        <f t="shared" si="10"/>
        <v>27</v>
      </c>
      <c r="T14" s="64">
        <f t="shared" si="10"/>
        <v>27</v>
      </c>
      <c r="U14" s="64">
        <f t="shared" si="10"/>
        <v>27</v>
      </c>
      <c r="V14" s="65">
        <f t="shared" si="2"/>
        <v>385</v>
      </c>
      <c r="W14" s="137"/>
      <c r="X14" s="33" t="s">
        <v>25</v>
      </c>
      <c r="Y14" s="34">
        <f t="shared" si="6"/>
        <v>146300</v>
      </c>
      <c r="Z14" s="35">
        <f t="shared" si="7"/>
        <v>1015972.2222222221</v>
      </c>
    </row>
    <row r="15" spans="1:28" s="13" customFormat="1" ht="54" customHeight="1" thickBot="1">
      <c r="A15" s="159"/>
      <c r="B15" s="60" t="s">
        <v>42</v>
      </c>
      <c r="C15" s="72">
        <v>428</v>
      </c>
      <c r="D15" s="162"/>
      <c r="E15" s="165"/>
      <c r="F15" s="62">
        <f>75000/1008*V15*W7</f>
        <v>57291.666666666664</v>
      </c>
      <c r="G15" s="155"/>
      <c r="H15" s="63">
        <f t="shared" ref="H15:U15" si="11">H12</f>
        <v>28</v>
      </c>
      <c r="I15" s="64">
        <f t="shared" si="11"/>
        <v>28</v>
      </c>
      <c r="J15" s="64">
        <f t="shared" si="11"/>
        <v>28</v>
      </c>
      <c r="K15" s="64">
        <f t="shared" si="11"/>
        <v>28</v>
      </c>
      <c r="L15" s="64">
        <f t="shared" si="11"/>
        <v>28</v>
      </c>
      <c r="M15" s="64">
        <f t="shared" si="11"/>
        <v>28</v>
      </c>
      <c r="N15" s="64">
        <f t="shared" si="11"/>
        <v>28</v>
      </c>
      <c r="O15" s="64">
        <f t="shared" si="11"/>
        <v>27</v>
      </c>
      <c r="P15" s="64">
        <f t="shared" si="11"/>
        <v>27</v>
      </c>
      <c r="Q15" s="64">
        <f>Q11</f>
        <v>27</v>
      </c>
      <c r="R15" s="64">
        <f>R11</f>
        <v>27</v>
      </c>
      <c r="S15" s="64">
        <f t="shared" si="11"/>
        <v>27</v>
      </c>
      <c r="T15" s="64">
        <f t="shared" si="11"/>
        <v>27</v>
      </c>
      <c r="U15" s="64">
        <f t="shared" si="11"/>
        <v>27</v>
      </c>
      <c r="V15" s="65">
        <f t="shared" si="2"/>
        <v>385</v>
      </c>
      <c r="W15" s="137"/>
      <c r="X15" s="33" t="s">
        <v>25</v>
      </c>
      <c r="Y15" s="34">
        <f t="shared" si="6"/>
        <v>164780</v>
      </c>
      <c r="Z15" s="35">
        <f t="shared" si="7"/>
        <v>1144305.5555555553</v>
      </c>
    </row>
    <row r="16" spans="1:28" s="36" customFormat="1" ht="54" customHeight="1" thickBot="1">
      <c r="A16" s="160"/>
      <c r="B16" s="73" t="s">
        <v>44</v>
      </c>
      <c r="C16" s="74">
        <v>92</v>
      </c>
      <c r="D16" s="163"/>
      <c r="E16" s="166"/>
      <c r="F16" s="75">
        <f>45000/1008*V16*W7</f>
        <v>34375</v>
      </c>
      <c r="G16" s="156"/>
      <c r="H16" s="76">
        <f>H11</f>
        <v>28</v>
      </c>
      <c r="I16" s="77">
        <f>I11</f>
        <v>28</v>
      </c>
      <c r="J16" s="77">
        <f t="shared" ref="J16:U16" si="12">J11</f>
        <v>28</v>
      </c>
      <c r="K16" s="77">
        <f t="shared" si="12"/>
        <v>28</v>
      </c>
      <c r="L16" s="77">
        <f t="shared" si="12"/>
        <v>28</v>
      </c>
      <c r="M16" s="77">
        <f t="shared" si="12"/>
        <v>28</v>
      </c>
      <c r="N16" s="77">
        <f t="shared" si="12"/>
        <v>28</v>
      </c>
      <c r="O16" s="77">
        <f t="shared" si="12"/>
        <v>27</v>
      </c>
      <c r="P16" s="77">
        <f t="shared" si="12"/>
        <v>27</v>
      </c>
      <c r="Q16" s="77">
        <f>Q11</f>
        <v>27</v>
      </c>
      <c r="R16" s="77">
        <f>R11</f>
        <v>27</v>
      </c>
      <c r="S16" s="77">
        <f t="shared" si="12"/>
        <v>27</v>
      </c>
      <c r="T16" s="77">
        <f t="shared" si="12"/>
        <v>27</v>
      </c>
      <c r="U16" s="77">
        <f t="shared" si="12"/>
        <v>27</v>
      </c>
      <c r="V16" s="78">
        <f t="shared" si="2"/>
        <v>385</v>
      </c>
      <c r="W16" s="137"/>
      <c r="X16" s="33" t="s">
        <v>25</v>
      </c>
      <c r="Y16" s="34">
        <f t="shared" si="6"/>
        <v>35420</v>
      </c>
      <c r="Z16" s="35">
        <f t="shared" si="7"/>
        <v>245972.22222222222</v>
      </c>
      <c r="AA16" s="37"/>
      <c r="AB16" s="37"/>
    </row>
    <row r="17" spans="1:26" s="17" customFormat="1" ht="52" customHeight="1" thickBot="1">
      <c r="A17" s="145"/>
      <c r="B17" s="146"/>
      <c r="C17" s="79"/>
      <c r="D17" s="80"/>
      <c r="E17" s="81" t="s">
        <v>27</v>
      </c>
      <c r="F17" s="82">
        <f>SUM(F9:F16)</f>
        <v>563958.33333333337</v>
      </c>
      <c r="G17" s="83">
        <f>SUM(G9:G13)</f>
        <v>300000</v>
      </c>
      <c r="H17" s="84">
        <f t="shared" ref="H17:U17" si="13">SUM(H9:H16)</f>
        <v>206</v>
      </c>
      <c r="I17" s="84">
        <f t="shared" si="13"/>
        <v>206</v>
      </c>
      <c r="J17" s="84">
        <f t="shared" si="13"/>
        <v>206</v>
      </c>
      <c r="K17" s="84">
        <f t="shared" si="13"/>
        <v>206</v>
      </c>
      <c r="L17" s="84">
        <f t="shared" si="13"/>
        <v>206</v>
      </c>
      <c r="M17" s="84">
        <f t="shared" si="13"/>
        <v>206</v>
      </c>
      <c r="N17" s="84">
        <f t="shared" si="13"/>
        <v>206</v>
      </c>
      <c r="O17" s="84">
        <f t="shared" si="13"/>
        <v>200</v>
      </c>
      <c r="P17" s="84">
        <f t="shared" si="13"/>
        <v>200</v>
      </c>
      <c r="Q17" s="84">
        <f t="shared" si="13"/>
        <v>200</v>
      </c>
      <c r="R17" s="84">
        <f t="shared" si="13"/>
        <v>200</v>
      </c>
      <c r="S17" s="84">
        <f t="shared" si="13"/>
        <v>200</v>
      </c>
      <c r="T17" s="84">
        <f t="shared" si="13"/>
        <v>200</v>
      </c>
      <c r="U17" s="84">
        <f t="shared" si="13"/>
        <v>200</v>
      </c>
      <c r="V17" s="85">
        <f>SUM(V7:V16)</f>
        <v>2842</v>
      </c>
      <c r="W17" s="138">
        <f>SUM(W9:W16)</f>
        <v>300000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28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29</v>
      </c>
      <c r="G19" s="95">
        <f>SUM(G17:G18)*5%</f>
        <v>15000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30</v>
      </c>
      <c r="G20" s="100">
        <f>SUM(G17:G19)</f>
        <v>315000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31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55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32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33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40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56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57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47" t="s">
        <v>58</v>
      </c>
      <c r="B29" s="147"/>
      <c r="C29" s="147"/>
      <c r="D29" s="122"/>
      <c r="E29" s="122"/>
      <c r="F29" s="122"/>
      <c r="G29" s="122"/>
      <c r="H29" s="123"/>
      <c r="I29" s="148" t="s">
        <v>34</v>
      </c>
      <c r="J29" s="148"/>
      <c r="K29" s="148"/>
      <c r="L29" s="149">
        <f>B3</f>
        <v>0</v>
      </c>
      <c r="M29" s="149"/>
      <c r="N29" s="149"/>
      <c r="O29" s="149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47" t="s">
        <v>59</v>
      </c>
      <c r="B30" s="147"/>
      <c r="C30" s="147"/>
      <c r="D30" s="122"/>
      <c r="E30" s="122"/>
      <c r="F30" s="122"/>
      <c r="G30" s="122"/>
      <c r="H30" s="124"/>
      <c r="I30" s="144" t="s">
        <v>35</v>
      </c>
      <c r="J30" s="144"/>
      <c r="K30" s="144"/>
      <c r="L30" s="144"/>
      <c r="M30" s="144"/>
      <c r="N30" s="144"/>
      <c r="W30" s="140"/>
    </row>
    <row r="31" spans="1:26" s="125" customFormat="1" ht="41.45" customHeight="1">
      <c r="A31" s="143" t="s">
        <v>60</v>
      </c>
      <c r="B31" s="143"/>
      <c r="C31" s="143"/>
      <c r="D31" s="123"/>
      <c r="E31" s="123"/>
      <c r="F31" s="123"/>
      <c r="G31" s="123"/>
      <c r="H31" s="124"/>
      <c r="I31" s="144" t="s">
        <v>36</v>
      </c>
      <c r="J31" s="144"/>
      <c r="K31" s="144"/>
      <c r="L31" s="144"/>
      <c r="M31" s="144"/>
      <c r="N31" s="144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31:C31"/>
    <mergeCell ref="I31:N31"/>
    <mergeCell ref="G9:G16"/>
    <mergeCell ref="A17:B17"/>
    <mergeCell ref="A29:C29"/>
    <mergeCell ref="I29:K29"/>
    <mergeCell ref="L29:O29"/>
    <mergeCell ref="A30:C30"/>
    <mergeCell ref="I30:N30"/>
    <mergeCell ref="A9:A10"/>
    <mergeCell ref="E9:E10"/>
    <mergeCell ref="A11:A16"/>
    <mergeCell ref="D11:D16"/>
    <mergeCell ref="E11:E16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5" priority="1" operator="containsText" text="日">
      <formula>NOT(ISERROR(SEARCH("日",H8)))</formula>
    </cfRule>
    <cfRule type="containsText" dxfId="4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6CFB4-833B-4582-8FDB-7ACB00EBABE9}">
  <sheetPr>
    <tabColor rgb="FFFFFF00"/>
    <pageSetUpPr fitToPage="1"/>
  </sheetPr>
  <dimension ref="A1:AB32"/>
  <sheetViews>
    <sheetView showGridLines="0" view="pageBreakPreview" zoomScale="35" zoomScaleNormal="60" zoomScaleSheetLayoutView="35" zoomScalePageLayoutView="75" workbookViewId="0">
      <selection activeCell="M11" sqref="M11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8" width="0" style="31" hidden="1" customWidth="1"/>
    <col min="29" max="16384" width="10.3515625" style="31"/>
  </cols>
  <sheetData>
    <row r="1" spans="1:28" s="1" customFormat="1" ht="107.1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62</v>
      </c>
      <c r="F4" s="39"/>
      <c r="G4" s="40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41"/>
      <c r="W4" s="135"/>
      <c r="AA4" s="130"/>
    </row>
    <row r="5" spans="1:28" s="128" customFormat="1" ht="49.45" customHeight="1">
      <c r="A5" s="43" t="s">
        <v>3</v>
      </c>
      <c r="B5" s="43" t="s">
        <v>53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65</v>
      </c>
      <c r="C6" s="44"/>
      <c r="D6" s="45"/>
      <c r="E6" s="45"/>
      <c r="G6" s="48"/>
      <c r="H6" s="51" t="s">
        <v>54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0.85</v>
      </c>
      <c r="AA6" s="131"/>
    </row>
    <row r="7" spans="1:28" s="9" customFormat="1" ht="47" customHeight="1" thickBot="1">
      <c r="A7" s="169" t="s">
        <v>5</v>
      </c>
      <c r="B7" s="171" t="s">
        <v>6</v>
      </c>
      <c r="C7" s="173" t="s">
        <v>7</v>
      </c>
      <c r="D7" s="171" t="s">
        <v>8</v>
      </c>
      <c r="E7" s="171" t="s">
        <v>9</v>
      </c>
      <c r="F7" s="175" t="s">
        <v>10</v>
      </c>
      <c r="G7" s="177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79" t="s">
        <v>12</v>
      </c>
      <c r="W7" s="142">
        <v>1.5</v>
      </c>
      <c r="AA7" s="132"/>
    </row>
    <row r="8" spans="1:28" s="9" customFormat="1" ht="47" customHeight="1" thickBot="1">
      <c r="A8" s="170"/>
      <c r="B8" s="172"/>
      <c r="C8" s="174"/>
      <c r="D8" s="172"/>
      <c r="E8" s="172"/>
      <c r="F8" s="176"/>
      <c r="G8" s="178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80"/>
      <c r="W8" s="136" t="s">
        <v>51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0" t="s">
        <v>45</v>
      </c>
      <c r="B9" s="54" t="s">
        <v>46</v>
      </c>
      <c r="C9" s="55" t="s">
        <v>48</v>
      </c>
      <c r="D9" s="129" t="s">
        <v>37</v>
      </c>
      <c r="E9" s="152" t="str">
        <f>B4</f>
        <v>15秒</v>
      </c>
      <c r="F9" s="56">
        <f>300000/420*V9*W6</f>
        <v>136000</v>
      </c>
      <c r="G9" s="154">
        <v>300000</v>
      </c>
      <c r="H9" s="57">
        <v>16</v>
      </c>
      <c r="I9" s="58">
        <f t="shared" ref="I9:U11" si="1">H9</f>
        <v>16</v>
      </c>
      <c r="J9" s="58">
        <f>I9</f>
        <v>16</v>
      </c>
      <c r="K9" s="58">
        <f t="shared" si="1"/>
        <v>16</v>
      </c>
      <c r="L9" s="58">
        <f>K9</f>
        <v>16</v>
      </c>
      <c r="M9" s="58">
        <f t="shared" si="1"/>
        <v>16</v>
      </c>
      <c r="N9" s="58">
        <f>M9</f>
        <v>16</v>
      </c>
      <c r="O9" s="58">
        <f>N9</f>
        <v>16</v>
      </c>
      <c r="P9" s="58">
        <f>O9</f>
        <v>16</v>
      </c>
      <c r="Q9" s="58">
        <f>P9</f>
        <v>16</v>
      </c>
      <c r="R9" s="58">
        <f>Q9</f>
        <v>16</v>
      </c>
      <c r="S9" s="58">
        <f>P9</f>
        <v>16</v>
      </c>
      <c r="T9" s="58">
        <f t="shared" si="1"/>
        <v>16</v>
      </c>
      <c r="U9" s="58">
        <f t="shared" si="1"/>
        <v>16</v>
      </c>
      <c r="V9" s="59">
        <f t="shared" ref="V9:V16" si="2">SUM(H9:U9)</f>
        <v>224</v>
      </c>
      <c r="W9" s="137">
        <f>250000/420*W6*V9</f>
        <v>113333.33333333333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1"/>
      <c r="B10" s="60" t="s">
        <v>47</v>
      </c>
      <c r="C10" s="61" t="s">
        <v>49</v>
      </c>
      <c r="D10" s="133" t="s">
        <v>38</v>
      </c>
      <c r="E10" s="153"/>
      <c r="F10" s="62" t="s">
        <v>39</v>
      </c>
      <c r="G10" s="155"/>
      <c r="H10" s="63">
        <v>28</v>
      </c>
      <c r="I10" s="64">
        <f>H10</f>
        <v>28</v>
      </c>
      <c r="J10" s="64">
        <f>I10</f>
        <v>28</v>
      </c>
      <c r="K10" s="64">
        <f t="shared" si="1"/>
        <v>28</v>
      </c>
      <c r="L10" s="64">
        <f t="shared" si="1"/>
        <v>28</v>
      </c>
      <c r="M10" s="64">
        <f t="shared" si="1"/>
        <v>28</v>
      </c>
      <c r="N10" s="64">
        <v>27</v>
      </c>
      <c r="O10" s="64">
        <f t="shared" si="1"/>
        <v>27</v>
      </c>
      <c r="P10" s="64">
        <f>O10</f>
        <v>27</v>
      </c>
      <c r="Q10" s="64">
        <f t="shared" ref="P10:R11" si="3">P10</f>
        <v>27</v>
      </c>
      <c r="R10" s="64">
        <f>Q10</f>
        <v>27</v>
      </c>
      <c r="S10" s="64">
        <f>R10</f>
        <v>27</v>
      </c>
      <c r="T10" s="64">
        <f t="shared" si="1"/>
        <v>27</v>
      </c>
      <c r="U10" s="64">
        <f>T10</f>
        <v>27</v>
      </c>
      <c r="V10" s="65">
        <f t="shared" si="2"/>
        <v>384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57" t="s">
        <v>64</v>
      </c>
      <c r="B11" s="66" t="s">
        <v>66</v>
      </c>
      <c r="C11" s="67">
        <v>1209</v>
      </c>
      <c r="D11" s="181" t="s">
        <v>67</v>
      </c>
      <c r="E11" s="164" t="str">
        <f>B4</f>
        <v>15秒</v>
      </c>
      <c r="F11" s="68">
        <f>150000/1008*V11*W7</f>
        <v>116517.85714285713</v>
      </c>
      <c r="G11" s="155"/>
      <c r="H11" s="69">
        <v>38</v>
      </c>
      <c r="I11" s="70">
        <f>H11</f>
        <v>38</v>
      </c>
      <c r="J11" s="70">
        <f t="shared" si="1"/>
        <v>38</v>
      </c>
      <c r="K11" s="70">
        <f t="shared" si="1"/>
        <v>38</v>
      </c>
      <c r="L11" s="70">
        <v>37</v>
      </c>
      <c r="M11" s="70">
        <f t="shared" si="1"/>
        <v>37</v>
      </c>
      <c r="N11" s="70">
        <f t="shared" si="1"/>
        <v>37</v>
      </c>
      <c r="O11" s="70">
        <f t="shared" si="1"/>
        <v>37</v>
      </c>
      <c r="P11" s="70">
        <f t="shared" si="3"/>
        <v>37</v>
      </c>
      <c r="Q11" s="70">
        <f t="shared" si="3"/>
        <v>37</v>
      </c>
      <c r="R11" s="70">
        <f t="shared" si="3"/>
        <v>37</v>
      </c>
      <c r="S11" s="70">
        <f>R11</f>
        <v>37</v>
      </c>
      <c r="T11" s="70">
        <f t="shared" si="1"/>
        <v>37</v>
      </c>
      <c r="U11" s="70">
        <f t="shared" si="1"/>
        <v>37</v>
      </c>
      <c r="V11" s="71">
        <f t="shared" si="2"/>
        <v>522</v>
      </c>
      <c r="W11" s="137">
        <f>120000/504*W7*V11</f>
        <v>186428.57142857145</v>
      </c>
      <c r="X11" s="33" t="s">
        <v>25</v>
      </c>
      <c r="Y11" s="34">
        <f t="shared" ref="Y11:Y16" si="4">V11*C11</f>
        <v>631098</v>
      </c>
      <c r="Z11" s="35">
        <f t="shared" ref="Z11:Z16" si="5">1000*(C11/24/6)*V11</f>
        <v>4382625</v>
      </c>
    </row>
    <row r="12" spans="1:28" s="13" customFormat="1" ht="54" customHeight="1" thickBot="1">
      <c r="A12" s="158"/>
      <c r="B12" s="60" t="s">
        <v>26</v>
      </c>
      <c r="C12" s="72">
        <v>660</v>
      </c>
      <c r="D12" s="161"/>
      <c r="E12" s="153"/>
      <c r="F12" s="62">
        <f>120000/1008*V11*W7</f>
        <v>93214.28571428571</v>
      </c>
      <c r="G12" s="155"/>
      <c r="H12" s="63">
        <f>H11</f>
        <v>38</v>
      </c>
      <c r="I12" s="64">
        <f>I11</f>
        <v>38</v>
      </c>
      <c r="J12" s="64">
        <f t="shared" ref="J12:U12" si="6">J11</f>
        <v>38</v>
      </c>
      <c r="K12" s="64">
        <f t="shared" si="6"/>
        <v>38</v>
      </c>
      <c r="L12" s="64">
        <f t="shared" si="6"/>
        <v>37</v>
      </c>
      <c r="M12" s="64">
        <f t="shared" si="6"/>
        <v>37</v>
      </c>
      <c r="N12" s="64">
        <f t="shared" si="6"/>
        <v>37</v>
      </c>
      <c r="O12" s="64">
        <f t="shared" si="6"/>
        <v>37</v>
      </c>
      <c r="P12" s="64">
        <f t="shared" si="6"/>
        <v>37</v>
      </c>
      <c r="Q12" s="64">
        <f>Q11</f>
        <v>37</v>
      </c>
      <c r="R12" s="64">
        <f>R11</f>
        <v>37</v>
      </c>
      <c r="S12" s="64">
        <f t="shared" si="6"/>
        <v>37</v>
      </c>
      <c r="T12" s="64">
        <f t="shared" si="6"/>
        <v>37</v>
      </c>
      <c r="U12" s="64">
        <f t="shared" si="6"/>
        <v>37</v>
      </c>
      <c r="V12" s="65">
        <f t="shared" si="2"/>
        <v>522</v>
      </c>
      <c r="W12" s="137"/>
      <c r="X12" s="33" t="s">
        <v>25</v>
      </c>
      <c r="Y12" s="34">
        <f t="shared" si="4"/>
        <v>344520</v>
      </c>
      <c r="Z12" s="35">
        <f t="shared" si="5"/>
        <v>2392500</v>
      </c>
    </row>
    <row r="13" spans="1:28" s="13" customFormat="1" ht="54" customHeight="1" thickBot="1">
      <c r="A13" s="158"/>
      <c r="B13" s="60" t="s">
        <v>41</v>
      </c>
      <c r="C13" s="72">
        <v>579</v>
      </c>
      <c r="D13" s="161"/>
      <c r="E13" s="153"/>
      <c r="F13" s="62">
        <f>90000/1008*V13*W7</f>
        <v>69910.71428571429</v>
      </c>
      <c r="G13" s="155"/>
      <c r="H13" s="63">
        <f>H11</f>
        <v>38</v>
      </c>
      <c r="I13" s="64">
        <f>I11</f>
        <v>38</v>
      </c>
      <c r="J13" s="64">
        <f t="shared" ref="J13:U13" si="7">J11</f>
        <v>38</v>
      </c>
      <c r="K13" s="64">
        <f t="shared" si="7"/>
        <v>38</v>
      </c>
      <c r="L13" s="64">
        <f t="shared" si="7"/>
        <v>37</v>
      </c>
      <c r="M13" s="64">
        <f t="shared" si="7"/>
        <v>37</v>
      </c>
      <c r="N13" s="64">
        <f t="shared" si="7"/>
        <v>37</v>
      </c>
      <c r="O13" s="64">
        <f t="shared" si="7"/>
        <v>37</v>
      </c>
      <c r="P13" s="64">
        <f t="shared" si="7"/>
        <v>37</v>
      </c>
      <c r="Q13" s="64">
        <f>Q11</f>
        <v>37</v>
      </c>
      <c r="R13" s="64">
        <f>R11</f>
        <v>37</v>
      </c>
      <c r="S13" s="64">
        <f t="shared" si="7"/>
        <v>37</v>
      </c>
      <c r="T13" s="64">
        <f t="shared" si="7"/>
        <v>37</v>
      </c>
      <c r="U13" s="64">
        <f t="shared" si="7"/>
        <v>37</v>
      </c>
      <c r="V13" s="65">
        <f t="shared" si="2"/>
        <v>522</v>
      </c>
      <c r="W13" s="137"/>
      <c r="X13" s="33" t="s">
        <v>25</v>
      </c>
      <c r="Y13" s="34">
        <f t="shared" si="4"/>
        <v>302238</v>
      </c>
      <c r="Z13" s="35">
        <f t="shared" si="5"/>
        <v>2098875</v>
      </c>
    </row>
    <row r="14" spans="1:28" s="13" customFormat="1" ht="54" customHeight="1" thickBot="1">
      <c r="A14" s="159"/>
      <c r="B14" s="60" t="s">
        <v>43</v>
      </c>
      <c r="C14" s="72">
        <v>380</v>
      </c>
      <c r="D14" s="162"/>
      <c r="E14" s="165"/>
      <c r="F14" s="62">
        <f>75000/1008*V14*W7</f>
        <v>58258.928571428565</v>
      </c>
      <c r="G14" s="155"/>
      <c r="H14" s="63">
        <f t="shared" ref="H14:U15" si="8">H11</f>
        <v>38</v>
      </c>
      <c r="I14" s="64">
        <f t="shared" si="8"/>
        <v>38</v>
      </c>
      <c r="J14" s="64">
        <f t="shared" si="8"/>
        <v>38</v>
      </c>
      <c r="K14" s="64">
        <f t="shared" si="8"/>
        <v>38</v>
      </c>
      <c r="L14" s="64">
        <f t="shared" si="8"/>
        <v>37</v>
      </c>
      <c r="M14" s="64">
        <f t="shared" si="8"/>
        <v>37</v>
      </c>
      <c r="N14" s="64">
        <f t="shared" si="8"/>
        <v>37</v>
      </c>
      <c r="O14" s="64">
        <f t="shared" si="8"/>
        <v>37</v>
      </c>
      <c r="P14" s="64">
        <f t="shared" si="8"/>
        <v>37</v>
      </c>
      <c r="Q14" s="64">
        <f>Q11</f>
        <v>37</v>
      </c>
      <c r="R14" s="64">
        <f>R11</f>
        <v>37</v>
      </c>
      <c r="S14" s="64">
        <f t="shared" si="8"/>
        <v>37</v>
      </c>
      <c r="T14" s="64">
        <f t="shared" si="8"/>
        <v>37</v>
      </c>
      <c r="U14" s="64">
        <f t="shared" si="8"/>
        <v>37</v>
      </c>
      <c r="V14" s="65">
        <f t="shared" si="2"/>
        <v>522</v>
      </c>
      <c r="W14" s="137"/>
      <c r="X14" s="33" t="s">
        <v>25</v>
      </c>
      <c r="Y14" s="34">
        <f t="shared" si="4"/>
        <v>198360</v>
      </c>
      <c r="Z14" s="35">
        <f t="shared" si="5"/>
        <v>1377500</v>
      </c>
    </row>
    <row r="15" spans="1:28" s="13" customFormat="1" ht="54" customHeight="1" thickBot="1">
      <c r="A15" s="159"/>
      <c r="B15" s="60" t="s">
        <v>42</v>
      </c>
      <c r="C15" s="72">
        <v>428</v>
      </c>
      <c r="D15" s="162"/>
      <c r="E15" s="165"/>
      <c r="F15" s="62">
        <f>75000/1008*V15*W7</f>
        <v>58258.928571428565</v>
      </c>
      <c r="G15" s="155"/>
      <c r="H15" s="63">
        <f t="shared" si="8"/>
        <v>38</v>
      </c>
      <c r="I15" s="64">
        <f t="shared" si="8"/>
        <v>38</v>
      </c>
      <c r="J15" s="64">
        <f t="shared" si="8"/>
        <v>38</v>
      </c>
      <c r="K15" s="64">
        <f t="shared" si="8"/>
        <v>38</v>
      </c>
      <c r="L15" s="64">
        <f t="shared" si="8"/>
        <v>37</v>
      </c>
      <c r="M15" s="64">
        <f t="shared" si="8"/>
        <v>37</v>
      </c>
      <c r="N15" s="64">
        <f t="shared" si="8"/>
        <v>37</v>
      </c>
      <c r="O15" s="64">
        <f t="shared" si="8"/>
        <v>37</v>
      </c>
      <c r="P15" s="64">
        <f t="shared" si="8"/>
        <v>37</v>
      </c>
      <c r="Q15" s="64">
        <f>Q11</f>
        <v>37</v>
      </c>
      <c r="R15" s="64">
        <f>R11</f>
        <v>37</v>
      </c>
      <c r="S15" s="64">
        <f t="shared" si="8"/>
        <v>37</v>
      </c>
      <c r="T15" s="64">
        <f t="shared" si="8"/>
        <v>37</v>
      </c>
      <c r="U15" s="64">
        <f t="shared" si="8"/>
        <v>37</v>
      </c>
      <c r="V15" s="65">
        <f t="shared" si="2"/>
        <v>522</v>
      </c>
      <c r="W15" s="137"/>
      <c r="X15" s="33" t="s">
        <v>25</v>
      </c>
      <c r="Y15" s="34">
        <f t="shared" si="4"/>
        <v>223416</v>
      </c>
      <c r="Z15" s="35">
        <f t="shared" si="5"/>
        <v>1551499.9999999998</v>
      </c>
    </row>
    <row r="16" spans="1:28" s="36" customFormat="1" ht="54" customHeight="1" thickBot="1">
      <c r="A16" s="160"/>
      <c r="B16" s="73" t="s">
        <v>44</v>
      </c>
      <c r="C16" s="74">
        <v>92</v>
      </c>
      <c r="D16" s="163"/>
      <c r="E16" s="166"/>
      <c r="F16" s="75">
        <f>45000/1008*V16*W7</f>
        <v>34955.357142857145</v>
      </c>
      <c r="G16" s="156"/>
      <c r="H16" s="76">
        <f>H11</f>
        <v>38</v>
      </c>
      <c r="I16" s="77">
        <f>I11</f>
        <v>38</v>
      </c>
      <c r="J16" s="77">
        <f t="shared" ref="J16:U16" si="9">J11</f>
        <v>38</v>
      </c>
      <c r="K16" s="77">
        <f t="shared" si="9"/>
        <v>38</v>
      </c>
      <c r="L16" s="77">
        <f t="shared" si="9"/>
        <v>37</v>
      </c>
      <c r="M16" s="77">
        <f t="shared" si="9"/>
        <v>37</v>
      </c>
      <c r="N16" s="77">
        <f t="shared" si="9"/>
        <v>37</v>
      </c>
      <c r="O16" s="77">
        <f t="shared" si="9"/>
        <v>37</v>
      </c>
      <c r="P16" s="77">
        <f t="shared" si="9"/>
        <v>37</v>
      </c>
      <c r="Q16" s="77">
        <f>Q11</f>
        <v>37</v>
      </c>
      <c r="R16" s="77">
        <f>R11</f>
        <v>37</v>
      </c>
      <c r="S16" s="77">
        <f t="shared" si="9"/>
        <v>37</v>
      </c>
      <c r="T16" s="77">
        <f t="shared" si="9"/>
        <v>37</v>
      </c>
      <c r="U16" s="77">
        <f t="shared" si="9"/>
        <v>37</v>
      </c>
      <c r="V16" s="78">
        <f t="shared" si="2"/>
        <v>522</v>
      </c>
      <c r="W16" s="137"/>
      <c r="X16" s="33" t="s">
        <v>25</v>
      </c>
      <c r="Y16" s="34">
        <f t="shared" si="4"/>
        <v>48024</v>
      </c>
      <c r="Z16" s="35">
        <f t="shared" si="5"/>
        <v>333500</v>
      </c>
      <c r="AA16" s="37"/>
      <c r="AB16" s="37"/>
    </row>
    <row r="17" spans="1:26" s="17" customFormat="1" ht="52" customHeight="1" thickBot="1">
      <c r="A17" s="145"/>
      <c r="B17" s="146"/>
      <c r="C17" s="79"/>
      <c r="D17" s="80"/>
      <c r="E17" s="81" t="s">
        <v>27</v>
      </c>
      <c r="F17" s="82">
        <f>SUM(F9:F16)</f>
        <v>567116.07142857148</v>
      </c>
      <c r="G17" s="83">
        <f>SUM(G9:G13)</f>
        <v>300000</v>
      </c>
      <c r="H17" s="84">
        <f t="shared" ref="H17:U17" si="10">SUM(H9:H16)</f>
        <v>272</v>
      </c>
      <c r="I17" s="84">
        <f t="shared" si="10"/>
        <v>272</v>
      </c>
      <c r="J17" s="84">
        <f t="shared" si="10"/>
        <v>272</v>
      </c>
      <c r="K17" s="84">
        <f t="shared" si="10"/>
        <v>272</v>
      </c>
      <c r="L17" s="84">
        <f t="shared" si="10"/>
        <v>266</v>
      </c>
      <c r="M17" s="84">
        <f t="shared" si="10"/>
        <v>266</v>
      </c>
      <c r="N17" s="84">
        <f t="shared" si="10"/>
        <v>265</v>
      </c>
      <c r="O17" s="84">
        <f t="shared" si="10"/>
        <v>265</v>
      </c>
      <c r="P17" s="84">
        <f t="shared" si="10"/>
        <v>265</v>
      </c>
      <c r="Q17" s="84">
        <f t="shared" si="10"/>
        <v>265</v>
      </c>
      <c r="R17" s="84">
        <f t="shared" si="10"/>
        <v>265</v>
      </c>
      <c r="S17" s="84">
        <f t="shared" si="10"/>
        <v>265</v>
      </c>
      <c r="T17" s="84">
        <f t="shared" si="10"/>
        <v>265</v>
      </c>
      <c r="U17" s="84">
        <f t="shared" si="10"/>
        <v>265</v>
      </c>
      <c r="V17" s="85">
        <f>SUM(V7:V16)</f>
        <v>3740</v>
      </c>
      <c r="W17" s="138">
        <f>SUM(W9:W16)</f>
        <v>299761.90476190479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28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29</v>
      </c>
      <c r="G19" s="95">
        <f>SUM(G17:G18)*5%</f>
        <v>15000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30</v>
      </c>
      <c r="G20" s="100">
        <f>SUM(G17:G19)</f>
        <v>315000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31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55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32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33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40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56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57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47" t="s">
        <v>58</v>
      </c>
      <c r="B29" s="147"/>
      <c r="C29" s="147"/>
      <c r="D29" s="122"/>
      <c r="E29" s="122"/>
      <c r="F29" s="122"/>
      <c r="G29" s="122"/>
      <c r="H29" s="123"/>
      <c r="I29" s="148" t="s">
        <v>34</v>
      </c>
      <c r="J29" s="148"/>
      <c r="K29" s="148"/>
      <c r="L29" s="149">
        <f>B3</f>
        <v>0</v>
      </c>
      <c r="M29" s="149"/>
      <c r="N29" s="149"/>
      <c r="O29" s="149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47" t="s">
        <v>59</v>
      </c>
      <c r="B30" s="147"/>
      <c r="C30" s="147"/>
      <c r="D30" s="122"/>
      <c r="E30" s="122"/>
      <c r="F30" s="122"/>
      <c r="G30" s="122"/>
      <c r="H30" s="124"/>
      <c r="I30" s="144" t="s">
        <v>35</v>
      </c>
      <c r="J30" s="144"/>
      <c r="K30" s="144"/>
      <c r="L30" s="144"/>
      <c r="M30" s="144"/>
      <c r="N30" s="144"/>
      <c r="W30" s="140"/>
    </row>
    <row r="31" spans="1:26" s="125" customFormat="1" ht="41.45" customHeight="1">
      <c r="A31" s="143" t="s">
        <v>60</v>
      </c>
      <c r="B31" s="143"/>
      <c r="C31" s="143"/>
      <c r="D31" s="123"/>
      <c r="E31" s="123"/>
      <c r="F31" s="123"/>
      <c r="G31" s="123"/>
      <c r="H31" s="124"/>
      <c r="I31" s="144" t="s">
        <v>36</v>
      </c>
      <c r="J31" s="144"/>
      <c r="K31" s="144"/>
      <c r="L31" s="144"/>
      <c r="M31" s="144"/>
      <c r="N31" s="144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  <mergeCell ref="A9:A10"/>
    <mergeCell ref="E9:E10"/>
    <mergeCell ref="G9:G16"/>
    <mergeCell ref="A11:A16"/>
    <mergeCell ref="D11:D16"/>
    <mergeCell ref="E11:E16"/>
    <mergeCell ref="A31:C31"/>
    <mergeCell ref="I31:N31"/>
    <mergeCell ref="A17:B17"/>
    <mergeCell ref="A29:C29"/>
    <mergeCell ref="I29:K29"/>
    <mergeCell ref="L29:O29"/>
    <mergeCell ref="A30:C30"/>
    <mergeCell ref="I30:N30"/>
  </mergeCells>
  <phoneticPr fontId="4" type="noConversion"/>
  <conditionalFormatting sqref="H8:U8">
    <cfRule type="containsText" dxfId="3" priority="1" operator="containsText" text="日">
      <formula>NOT(ISERROR(SEARCH("日",H8)))</formula>
    </cfRule>
    <cfRule type="containsText" dxfId="2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3881-FBCA-4AC5-8790-095AEE4F1B51}">
  <sheetPr>
    <tabColor rgb="FFFFFF00"/>
    <pageSetUpPr fitToPage="1"/>
  </sheetPr>
  <dimension ref="A1:AB32"/>
  <sheetViews>
    <sheetView showGridLines="0" view="pageBreakPreview" zoomScale="35" zoomScaleNormal="60" zoomScaleSheetLayoutView="35" zoomScalePageLayoutView="75" workbookViewId="0">
      <selection activeCell="I11" sqref="I11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7" width="0" style="31" hidden="1" customWidth="1"/>
    <col min="28" max="16384" width="10.3515625" style="31"/>
  </cols>
  <sheetData>
    <row r="1" spans="1:28" s="1" customFormat="1" ht="107.1" customHeigh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61</v>
      </c>
      <c r="F4" s="39"/>
      <c r="G4" s="40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41"/>
      <c r="W4" s="135"/>
      <c r="AA4" s="130"/>
    </row>
    <row r="5" spans="1:28" s="128" customFormat="1" ht="49.45" customHeight="1">
      <c r="A5" s="43" t="s">
        <v>3</v>
      </c>
      <c r="B5" s="43" t="s">
        <v>53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65</v>
      </c>
      <c r="C6" s="44"/>
      <c r="D6" s="45"/>
      <c r="E6" s="45"/>
      <c r="G6" s="48"/>
      <c r="H6" s="51" t="s">
        <v>54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0.65</v>
      </c>
      <c r="AA6" s="131"/>
    </row>
    <row r="7" spans="1:28" s="9" customFormat="1" ht="47" customHeight="1" thickBot="1">
      <c r="A7" s="169" t="s">
        <v>5</v>
      </c>
      <c r="B7" s="171" t="s">
        <v>6</v>
      </c>
      <c r="C7" s="173" t="s">
        <v>7</v>
      </c>
      <c r="D7" s="171" t="s">
        <v>8</v>
      </c>
      <c r="E7" s="171" t="s">
        <v>9</v>
      </c>
      <c r="F7" s="175" t="s">
        <v>10</v>
      </c>
      <c r="G7" s="177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79" t="s">
        <v>12</v>
      </c>
      <c r="W7" s="142">
        <v>1</v>
      </c>
      <c r="AA7" s="132"/>
    </row>
    <row r="8" spans="1:28" s="9" customFormat="1" ht="47" customHeight="1" thickBot="1">
      <c r="A8" s="170"/>
      <c r="B8" s="172"/>
      <c r="C8" s="174"/>
      <c r="D8" s="172"/>
      <c r="E8" s="172"/>
      <c r="F8" s="176"/>
      <c r="G8" s="178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80"/>
      <c r="W8" s="136" t="s">
        <v>51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0" t="s">
        <v>45</v>
      </c>
      <c r="B9" s="54" t="s">
        <v>46</v>
      </c>
      <c r="C9" s="55" t="s">
        <v>48</v>
      </c>
      <c r="D9" s="129" t="s">
        <v>37</v>
      </c>
      <c r="E9" s="152" t="str">
        <f>B4</f>
        <v>10秒</v>
      </c>
      <c r="F9" s="56">
        <f>300000/420*V9*W6</f>
        <v>143000.00000000003</v>
      </c>
      <c r="G9" s="154">
        <v>300000</v>
      </c>
      <c r="H9" s="57">
        <v>22</v>
      </c>
      <c r="I9" s="58">
        <f t="shared" ref="I9:U11" si="1">H9</f>
        <v>22</v>
      </c>
      <c r="J9" s="58">
        <f>I9</f>
        <v>22</v>
      </c>
      <c r="K9" s="58">
        <f t="shared" si="1"/>
        <v>22</v>
      </c>
      <c r="L9" s="58">
        <f>K9</f>
        <v>22</v>
      </c>
      <c r="M9" s="58">
        <f t="shared" si="1"/>
        <v>22</v>
      </c>
      <c r="N9" s="58">
        <f>M9</f>
        <v>22</v>
      </c>
      <c r="O9" s="58">
        <f>N9</f>
        <v>22</v>
      </c>
      <c r="P9" s="58">
        <f>O9</f>
        <v>22</v>
      </c>
      <c r="Q9" s="58">
        <f>P9</f>
        <v>22</v>
      </c>
      <c r="R9" s="58">
        <f>Q9</f>
        <v>22</v>
      </c>
      <c r="S9" s="58">
        <f>P9</f>
        <v>22</v>
      </c>
      <c r="T9" s="58">
        <f t="shared" si="1"/>
        <v>22</v>
      </c>
      <c r="U9" s="58">
        <f t="shared" si="1"/>
        <v>22</v>
      </c>
      <c r="V9" s="59">
        <f t="shared" ref="V9:V16" si="2">SUM(H9:U9)</f>
        <v>308</v>
      </c>
      <c r="W9" s="137">
        <f>250000/420*W6*V9</f>
        <v>119166.66666666666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1"/>
      <c r="B10" s="60" t="s">
        <v>47</v>
      </c>
      <c r="C10" s="61" t="s">
        <v>49</v>
      </c>
      <c r="D10" s="133" t="s">
        <v>38</v>
      </c>
      <c r="E10" s="153"/>
      <c r="F10" s="62" t="s">
        <v>39</v>
      </c>
      <c r="G10" s="155"/>
      <c r="H10" s="63">
        <v>38</v>
      </c>
      <c r="I10" s="64">
        <f>H10</f>
        <v>38</v>
      </c>
      <c r="J10" s="64">
        <f t="shared" si="1"/>
        <v>38</v>
      </c>
      <c r="K10" s="64">
        <f t="shared" si="1"/>
        <v>38</v>
      </c>
      <c r="L10" s="64">
        <f t="shared" si="1"/>
        <v>38</v>
      </c>
      <c r="M10" s="64">
        <f t="shared" si="1"/>
        <v>38</v>
      </c>
      <c r="N10" s="64">
        <f>M10</f>
        <v>38</v>
      </c>
      <c r="O10" s="64">
        <f t="shared" si="1"/>
        <v>38</v>
      </c>
      <c r="P10" s="64">
        <f t="shared" ref="P10:R11" si="3">O10</f>
        <v>38</v>
      </c>
      <c r="Q10" s="64">
        <f t="shared" si="3"/>
        <v>38</v>
      </c>
      <c r="R10" s="64">
        <v>37</v>
      </c>
      <c r="S10" s="64">
        <f>R10</f>
        <v>37</v>
      </c>
      <c r="T10" s="64">
        <f>S10</f>
        <v>37</v>
      </c>
      <c r="U10" s="64">
        <f>T10</f>
        <v>37</v>
      </c>
      <c r="V10" s="65">
        <f t="shared" si="2"/>
        <v>528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57" t="s">
        <v>64</v>
      </c>
      <c r="B11" s="66" t="s">
        <v>66</v>
      </c>
      <c r="C11" s="67">
        <v>1209</v>
      </c>
      <c r="D11" s="181" t="s">
        <v>67</v>
      </c>
      <c r="E11" s="164" t="str">
        <f>B4</f>
        <v>10秒</v>
      </c>
      <c r="F11" s="68">
        <f>150000/1008*V11*W7</f>
        <v>112499.99999999999</v>
      </c>
      <c r="G11" s="155"/>
      <c r="H11" s="69">
        <v>54</v>
      </c>
      <c r="I11" s="70">
        <f>H11</f>
        <v>54</v>
      </c>
      <c r="J11" s="70">
        <f t="shared" si="1"/>
        <v>54</v>
      </c>
      <c r="K11" s="70">
        <f t="shared" si="1"/>
        <v>54</v>
      </c>
      <c r="L11" s="70">
        <f t="shared" si="1"/>
        <v>54</v>
      </c>
      <c r="M11" s="70">
        <f t="shared" si="1"/>
        <v>54</v>
      </c>
      <c r="N11" s="70">
        <f t="shared" si="1"/>
        <v>54</v>
      </c>
      <c r="O11" s="70">
        <f>N11</f>
        <v>54</v>
      </c>
      <c r="P11" s="70">
        <f t="shared" si="3"/>
        <v>54</v>
      </c>
      <c r="Q11" s="70">
        <f t="shared" si="3"/>
        <v>54</v>
      </c>
      <c r="R11" s="70">
        <f t="shared" si="3"/>
        <v>54</v>
      </c>
      <c r="S11" s="70">
        <f>R11</f>
        <v>54</v>
      </c>
      <c r="T11" s="70">
        <f t="shared" si="1"/>
        <v>54</v>
      </c>
      <c r="U11" s="70">
        <f t="shared" si="1"/>
        <v>54</v>
      </c>
      <c r="V11" s="71">
        <f t="shared" si="2"/>
        <v>756</v>
      </c>
      <c r="W11" s="137">
        <f>120000/504*W7*V11</f>
        <v>180000</v>
      </c>
      <c r="X11" s="33" t="s">
        <v>25</v>
      </c>
      <c r="Y11" s="34">
        <f t="shared" ref="Y11:Y16" si="4">V11*C11</f>
        <v>914004</v>
      </c>
      <c r="Z11" s="35">
        <f t="shared" ref="Z11:Z16" si="5">1000*(C11/24/6)*V11</f>
        <v>6347250</v>
      </c>
    </row>
    <row r="12" spans="1:28" s="13" customFormat="1" ht="54" customHeight="1" thickBot="1">
      <c r="A12" s="158"/>
      <c r="B12" s="60" t="s">
        <v>26</v>
      </c>
      <c r="C12" s="72">
        <v>660</v>
      </c>
      <c r="D12" s="161"/>
      <c r="E12" s="153"/>
      <c r="F12" s="62">
        <f>120000/1008*V11*W7</f>
        <v>90000</v>
      </c>
      <c r="G12" s="155"/>
      <c r="H12" s="63">
        <f>H11</f>
        <v>54</v>
      </c>
      <c r="I12" s="64">
        <f>I11</f>
        <v>54</v>
      </c>
      <c r="J12" s="64">
        <f t="shared" ref="J12:U12" si="6">J11</f>
        <v>54</v>
      </c>
      <c r="K12" s="64">
        <f t="shared" si="6"/>
        <v>54</v>
      </c>
      <c r="L12" s="64">
        <f t="shared" si="6"/>
        <v>54</v>
      </c>
      <c r="M12" s="64">
        <f t="shared" si="6"/>
        <v>54</v>
      </c>
      <c r="N12" s="64">
        <f t="shared" si="6"/>
        <v>54</v>
      </c>
      <c r="O12" s="64">
        <f t="shared" si="6"/>
        <v>54</v>
      </c>
      <c r="P12" s="64">
        <f t="shared" si="6"/>
        <v>54</v>
      </c>
      <c r="Q12" s="64">
        <f>Q11</f>
        <v>54</v>
      </c>
      <c r="R12" s="64">
        <f>R11</f>
        <v>54</v>
      </c>
      <c r="S12" s="64">
        <f t="shared" si="6"/>
        <v>54</v>
      </c>
      <c r="T12" s="64">
        <f t="shared" si="6"/>
        <v>54</v>
      </c>
      <c r="U12" s="64">
        <f t="shared" si="6"/>
        <v>54</v>
      </c>
      <c r="V12" s="65">
        <f t="shared" si="2"/>
        <v>756</v>
      </c>
      <c r="W12" s="137"/>
      <c r="X12" s="33" t="s">
        <v>25</v>
      </c>
      <c r="Y12" s="34">
        <f t="shared" si="4"/>
        <v>498960</v>
      </c>
      <c r="Z12" s="35">
        <f t="shared" si="5"/>
        <v>3465000</v>
      </c>
    </row>
    <row r="13" spans="1:28" s="13" customFormat="1" ht="54" customHeight="1" thickBot="1">
      <c r="A13" s="158"/>
      <c r="B13" s="60" t="s">
        <v>41</v>
      </c>
      <c r="C13" s="72">
        <v>579</v>
      </c>
      <c r="D13" s="161"/>
      <c r="E13" s="153"/>
      <c r="F13" s="62">
        <f>90000/1008*V13*W7</f>
        <v>67500</v>
      </c>
      <c r="G13" s="155"/>
      <c r="H13" s="63">
        <f>H11</f>
        <v>54</v>
      </c>
      <c r="I13" s="64">
        <f>I11</f>
        <v>54</v>
      </c>
      <c r="J13" s="64">
        <f t="shared" ref="J13:U13" si="7">J11</f>
        <v>54</v>
      </c>
      <c r="K13" s="64">
        <f t="shared" si="7"/>
        <v>54</v>
      </c>
      <c r="L13" s="64">
        <f t="shared" si="7"/>
        <v>54</v>
      </c>
      <c r="M13" s="64">
        <f t="shared" si="7"/>
        <v>54</v>
      </c>
      <c r="N13" s="64">
        <f t="shared" si="7"/>
        <v>54</v>
      </c>
      <c r="O13" s="64">
        <f t="shared" si="7"/>
        <v>54</v>
      </c>
      <c r="P13" s="64">
        <f t="shared" si="7"/>
        <v>54</v>
      </c>
      <c r="Q13" s="64">
        <f>Q11</f>
        <v>54</v>
      </c>
      <c r="R13" s="64">
        <f>R11</f>
        <v>54</v>
      </c>
      <c r="S13" s="64">
        <f t="shared" si="7"/>
        <v>54</v>
      </c>
      <c r="T13" s="64">
        <f t="shared" si="7"/>
        <v>54</v>
      </c>
      <c r="U13" s="64">
        <f t="shared" si="7"/>
        <v>54</v>
      </c>
      <c r="V13" s="65">
        <f t="shared" si="2"/>
        <v>756</v>
      </c>
      <c r="W13" s="137"/>
      <c r="X13" s="33" t="s">
        <v>25</v>
      </c>
      <c r="Y13" s="34">
        <f t="shared" si="4"/>
        <v>437724</v>
      </c>
      <c r="Z13" s="35">
        <f t="shared" si="5"/>
        <v>3039750</v>
      </c>
    </row>
    <row r="14" spans="1:28" s="13" customFormat="1" ht="54" customHeight="1" thickBot="1">
      <c r="A14" s="159"/>
      <c r="B14" s="60" t="s">
        <v>43</v>
      </c>
      <c r="C14" s="72">
        <v>380</v>
      </c>
      <c r="D14" s="162"/>
      <c r="E14" s="165"/>
      <c r="F14" s="62">
        <f>75000/1008*V14*W7</f>
        <v>56249.999999999993</v>
      </c>
      <c r="G14" s="155"/>
      <c r="H14" s="63">
        <f t="shared" ref="H14:U15" si="8">H11</f>
        <v>54</v>
      </c>
      <c r="I14" s="64">
        <f t="shared" si="8"/>
        <v>54</v>
      </c>
      <c r="J14" s="64">
        <f t="shared" si="8"/>
        <v>54</v>
      </c>
      <c r="K14" s="64">
        <f t="shared" si="8"/>
        <v>54</v>
      </c>
      <c r="L14" s="64">
        <f t="shared" si="8"/>
        <v>54</v>
      </c>
      <c r="M14" s="64">
        <f t="shared" si="8"/>
        <v>54</v>
      </c>
      <c r="N14" s="64">
        <f t="shared" si="8"/>
        <v>54</v>
      </c>
      <c r="O14" s="64">
        <f t="shared" si="8"/>
        <v>54</v>
      </c>
      <c r="P14" s="64">
        <f t="shared" si="8"/>
        <v>54</v>
      </c>
      <c r="Q14" s="64">
        <f>Q11</f>
        <v>54</v>
      </c>
      <c r="R14" s="64">
        <f>R11</f>
        <v>54</v>
      </c>
      <c r="S14" s="64">
        <f t="shared" si="8"/>
        <v>54</v>
      </c>
      <c r="T14" s="64">
        <f t="shared" si="8"/>
        <v>54</v>
      </c>
      <c r="U14" s="64">
        <f t="shared" si="8"/>
        <v>54</v>
      </c>
      <c r="V14" s="65">
        <f t="shared" si="2"/>
        <v>756</v>
      </c>
      <c r="W14" s="137"/>
      <c r="X14" s="33" t="s">
        <v>25</v>
      </c>
      <c r="Y14" s="34">
        <f t="shared" si="4"/>
        <v>287280</v>
      </c>
      <c r="Z14" s="35">
        <f t="shared" si="5"/>
        <v>1994999.9999999998</v>
      </c>
    </row>
    <row r="15" spans="1:28" s="13" customFormat="1" ht="54" customHeight="1" thickBot="1">
      <c r="A15" s="159"/>
      <c r="B15" s="60" t="s">
        <v>42</v>
      </c>
      <c r="C15" s="72">
        <v>428</v>
      </c>
      <c r="D15" s="162"/>
      <c r="E15" s="165"/>
      <c r="F15" s="62">
        <f>75000/1008*V15*W7</f>
        <v>56249.999999999993</v>
      </c>
      <c r="G15" s="155"/>
      <c r="H15" s="63">
        <f t="shared" si="8"/>
        <v>54</v>
      </c>
      <c r="I15" s="64">
        <f t="shared" si="8"/>
        <v>54</v>
      </c>
      <c r="J15" s="64">
        <f t="shared" si="8"/>
        <v>54</v>
      </c>
      <c r="K15" s="64">
        <f t="shared" si="8"/>
        <v>54</v>
      </c>
      <c r="L15" s="64">
        <f t="shared" si="8"/>
        <v>54</v>
      </c>
      <c r="M15" s="64">
        <f t="shared" si="8"/>
        <v>54</v>
      </c>
      <c r="N15" s="64">
        <f t="shared" si="8"/>
        <v>54</v>
      </c>
      <c r="O15" s="64">
        <f t="shared" si="8"/>
        <v>54</v>
      </c>
      <c r="P15" s="64">
        <f t="shared" si="8"/>
        <v>54</v>
      </c>
      <c r="Q15" s="64">
        <f>Q11</f>
        <v>54</v>
      </c>
      <c r="R15" s="64">
        <f>R11</f>
        <v>54</v>
      </c>
      <c r="S15" s="64">
        <f t="shared" si="8"/>
        <v>54</v>
      </c>
      <c r="T15" s="64">
        <f t="shared" si="8"/>
        <v>54</v>
      </c>
      <c r="U15" s="64">
        <f t="shared" si="8"/>
        <v>54</v>
      </c>
      <c r="V15" s="65">
        <f t="shared" si="2"/>
        <v>756</v>
      </c>
      <c r="W15" s="137"/>
      <c r="X15" s="33" t="s">
        <v>25</v>
      </c>
      <c r="Y15" s="34">
        <f t="shared" si="4"/>
        <v>323568</v>
      </c>
      <c r="Z15" s="35">
        <f t="shared" si="5"/>
        <v>2246999.9999999995</v>
      </c>
    </row>
    <row r="16" spans="1:28" s="36" customFormat="1" ht="54" customHeight="1" thickBot="1">
      <c r="A16" s="160"/>
      <c r="B16" s="73" t="s">
        <v>44</v>
      </c>
      <c r="C16" s="74">
        <v>92</v>
      </c>
      <c r="D16" s="163"/>
      <c r="E16" s="166"/>
      <c r="F16" s="75">
        <f>45000/1008*V16*W7</f>
        <v>33750</v>
      </c>
      <c r="G16" s="156"/>
      <c r="H16" s="76">
        <f>H11</f>
        <v>54</v>
      </c>
      <c r="I16" s="77">
        <f>I11</f>
        <v>54</v>
      </c>
      <c r="J16" s="77">
        <f t="shared" ref="J16:U16" si="9">J11</f>
        <v>54</v>
      </c>
      <c r="K16" s="77">
        <f t="shared" si="9"/>
        <v>54</v>
      </c>
      <c r="L16" s="77">
        <f t="shared" si="9"/>
        <v>54</v>
      </c>
      <c r="M16" s="77">
        <f t="shared" si="9"/>
        <v>54</v>
      </c>
      <c r="N16" s="77">
        <f t="shared" si="9"/>
        <v>54</v>
      </c>
      <c r="O16" s="77">
        <f t="shared" si="9"/>
        <v>54</v>
      </c>
      <c r="P16" s="77">
        <f t="shared" si="9"/>
        <v>54</v>
      </c>
      <c r="Q16" s="77">
        <f>Q11</f>
        <v>54</v>
      </c>
      <c r="R16" s="77">
        <f>R11</f>
        <v>54</v>
      </c>
      <c r="S16" s="77">
        <f t="shared" si="9"/>
        <v>54</v>
      </c>
      <c r="T16" s="77">
        <f t="shared" si="9"/>
        <v>54</v>
      </c>
      <c r="U16" s="77">
        <f t="shared" si="9"/>
        <v>54</v>
      </c>
      <c r="V16" s="78">
        <f t="shared" si="2"/>
        <v>756</v>
      </c>
      <c r="W16" s="137"/>
      <c r="X16" s="33" t="s">
        <v>25</v>
      </c>
      <c r="Y16" s="34">
        <f t="shared" si="4"/>
        <v>69552</v>
      </c>
      <c r="Z16" s="35">
        <f t="shared" si="5"/>
        <v>483000</v>
      </c>
      <c r="AA16" s="37"/>
      <c r="AB16" s="37"/>
    </row>
    <row r="17" spans="1:26" s="17" customFormat="1" ht="52" customHeight="1" thickBot="1">
      <c r="A17" s="145"/>
      <c r="B17" s="146"/>
      <c r="C17" s="79"/>
      <c r="D17" s="80"/>
      <c r="E17" s="81" t="s">
        <v>27</v>
      </c>
      <c r="F17" s="82">
        <f>SUM(F9:F16)</f>
        <v>559250</v>
      </c>
      <c r="G17" s="83">
        <f>SUM(G9:G13)</f>
        <v>300000</v>
      </c>
      <c r="H17" s="84">
        <f t="shared" ref="H17:U17" si="10">SUM(H9:H16)</f>
        <v>384</v>
      </c>
      <c r="I17" s="84">
        <f t="shared" si="10"/>
        <v>384</v>
      </c>
      <c r="J17" s="84">
        <f t="shared" si="10"/>
        <v>384</v>
      </c>
      <c r="K17" s="84">
        <f t="shared" si="10"/>
        <v>384</v>
      </c>
      <c r="L17" s="84">
        <f t="shared" si="10"/>
        <v>384</v>
      </c>
      <c r="M17" s="84">
        <f t="shared" si="10"/>
        <v>384</v>
      </c>
      <c r="N17" s="84">
        <f t="shared" si="10"/>
        <v>384</v>
      </c>
      <c r="O17" s="84">
        <f t="shared" si="10"/>
        <v>384</v>
      </c>
      <c r="P17" s="84">
        <f t="shared" si="10"/>
        <v>384</v>
      </c>
      <c r="Q17" s="84">
        <f t="shared" si="10"/>
        <v>384</v>
      </c>
      <c r="R17" s="84">
        <f t="shared" si="10"/>
        <v>383</v>
      </c>
      <c r="S17" s="84">
        <f t="shared" si="10"/>
        <v>383</v>
      </c>
      <c r="T17" s="84">
        <f t="shared" si="10"/>
        <v>383</v>
      </c>
      <c r="U17" s="84">
        <f t="shared" si="10"/>
        <v>383</v>
      </c>
      <c r="V17" s="85">
        <f>SUM(V7:V16)</f>
        <v>5372</v>
      </c>
      <c r="W17" s="138">
        <f>SUM(W9:W16)</f>
        <v>299166.66666666663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28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29</v>
      </c>
      <c r="G19" s="95">
        <f>SUM(G17:G18)*5%</f>
        <v>15000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30</v>
      </c>
      <c r="G20" s="100">
        <f>SUM(G17:G19)</f>
        <v>315000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31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55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32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33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40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56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57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47" t="s">
        <v>58</v>
      </c>
      <c r="B29" s="147"/>
      <c r="C29" s="147"/>
      <c r="D29" s="122"/>
      <c r="E29" s="122"/>
      <c r="F29" s="122"/>
      <c r="G29" s="122"/>
      <c r="H29" s="123"/>
      <c r="I29" s="148" t="s">
        <v>34</v>
      </c>
      <c r="J29" s="148"/>
      <c r="K29" s="148"/>
      <c r="L29" s="149">
        <f>B3</f>
        <v>0</v>
      </c>
      <c r="M29" s="149"/>
      <c r="N29" s="149"/>
      <c r="O29" s="149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47" t="s">
        <v>59</v>
      </c>
      <c r="B30" s="147"/>
      <c r="C30" s="147"/>
      <c r="D30" s="122"/>
      <c r="E30" s="122"/>
      <c r="F30" s="122"/>
      <c r="G30" s="122"/>
      <c r="H30" s="124"/>
      <c r="I30" s="144" t="s">
        <v>35</v>
      </c>
      <c r="J30" s="144"/>
      <c r="K30" s="144"/>
      <c r="L30" s="144"/>
      <c r="M30" s="144"/>
      <c r="N30" s="144"/>
      <c r="W30" s="140"/>
    </row>
    <row r="31" spans="1:26" s="125" customFormat="1" ht="41.45" customHeight="1">
      <c r="A31" s="143" t="s">
        <v>60</v>
      </c>
      <c r="B31" s="143"/>
      <c r="C31" s="143"/>
      <c r="D31" s="123"/>
      <c r="E31" s="123"/>
      <c r="F31" s="123"/>
      <c r="G31" s="123"/>
      <c r="H31" s="124"/>
      <c r="I31" s="144" t="s">
        <v>36</v>
      </c>
      <c r="J31" s="144"/>
      <c r="K31" s="144"/>
      <c r="L31" s="144"/>
      <c r="M31" s="144"/>
      <c r="N31" s="144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  <mergeCell ref="A9:A10"/>
    <mergeCell ref="E9:E10"/>
    <mergeCell ref="G9:G16"/>
    <mergeCell ref="A11:A16"/>
    <mergeCell ref="D11:D16"/>
    <mergeCell ref="E11:E16"/>
    <mergeCell ref="A31:C31"/>
    <mergeCell ref="I31:N31"/>
    <mergeCell ref="A17:B17"/>
    <mergeCell ref="A29:C29"/>
    <mergeCell ref="I29:K29"/>
    <mergeCell ref="L29:O29"/>
    <mergeCell ref="A30:C30"/>
    <mergeCell ref="I30:N30"/>
  </mergeCells>
  <phoneticPr fontId="4" type="noConversion"/>
  <conditionalFormatting sqref="H8:U8">
    <cfRule type="containsText" dxfId="1" priority="1" operator="containsText" text="日">
      <formula>NOT(ISERROR(SEARCH("日",H8)))</formula>
    </cfRule>
    <cfRule type="containsText" dxfId="0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8</vt:i4>
      </vt:variant>
    </vt:vector>
  </HeadingPairs>
  <TitlesOfParts>
    <vt:vector size="12" baseType="lpstr">
      <vt:lpstr>30萬版-30秒版</vt:lpstr>
      <vt:lpstr>30萬版-20秒版</vt:lpstr>
      <vt:lpstr>30萬版-15秒版</vt:lpstr>
      <vt:lpstr>30萬版-10秒版 </vt:lpstr>
      <vt:lpstr>'30萬版-10秒版 '!Print_Area</vt:lpstr>
      <vt:lpstr>'30萬版-15秒版'!Print_Area</vt:lpstr>
      <vt:lpstr>'30萬版-20秒版'!Print_Area</vt:lpstr>
      <vt:lpstr>'30萬版-30秒版'!Print_Area</vt:lpstr>
      <vt:lpstr>'30萬版-10秒版 '!Print_Titles</vt:lpstr>
      <vt:lpstr>'30萬版-15秒版'!Print_Titles</vt:lpstr>
      <vt:lpstr>'30萬版-20秒版'!Print_Titles</vt:lpstr>
      <vt:lpstr>'30萬版-30秒版'!Print_Titles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 宜歆</dc:creator>
  <cp:lastModifiedBy>蔡 宜歆</cp:lastModifiedBy>
  <cp:lastPrinted>2025-12-29T08:22:54Z</cp:lastPrinted>
  <dcterms:created xsi:type="dcterms:W3CDTF">2025-09-26T08:25:35Z</dcterms:created>
  <dcterms:modified xsi:type="dcterms:W3CDTF">2026-09-02T03:09:39Z</dcterms:modified>
</cp:coreProperties>
</file>