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13_ncr:1_{A683F8A0-0580-4FE8-BB66-BCACEE8CD2EB}" xr6:coauthVersionLast="47" xr6:coauthVersionMax="47" xr10:uidLastSave="{00000000-0000-0000-0000-000000000000}"/>
  <bookViews>
    <workbookView xWindow="-93" yWindow="-93" windowWidth="25786" windowHeight="13866" xr2:uid="{917EC74D-08D0-400E-AACA-1F5EE105B0A9}"/>
  </bookViews>
  <sheets>
    <sheet name="40萬版-30秒版" sheetId="6" r:id="rId1"/>
    <sheet name="40萬版-20秒版" sheetId="7" r:id="rId2"/>
    <sheet name="40萬版-15秒版" sheetId="8" r:id="rId3"/>
    <sheet name="40萬版-10秒版 " sheetId="9" r:id="rId4"/>
  </sheets>
  <externalReferences>
    <externalReference r:id="rId5"/>
  </externalReferences>
  <definedNames>
    <definedName name="_">#REF!</definedName>
    <definedName name="_1_Fill_1">#REF!</definedName>
    <definedName name="_10_Fill_5">#REF!</definedName>
    <definedName name="_10Excel_BuiltIn_Criteria_1">#REF!</definedName>
    <definedName name="_12_Fill_6">#REF!</definedName>
    <definedName name="_12Excel_BuiltIn_Criteria_2">#REF!</definedName>
    <definedName name="_14Excel_BuiltIn_Criteria_1">#REF!</definedName>
    <definedName name="_15Excel_BuiltIn_Criteria_1_1">#REF!</definedName>
    <definedName name="_15Excel_BuiltIn_Criteria_3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2Excel_BuiltIn_Criteria_1">#REF!</definedName>
    <definedName name="_3_Fill_1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4Excel_BuiltIn_Criteria_1">#REF!</definedName>
    <definedName name="_5_Fill_1">#REF!</definedName>
    <definedName name="_6_Fill_1_1">#REF!</definedName>
    <definedName name="_6_Fill_2">#REF!</definedName>
    <definedName name="_6_Fill_3">#REF!</definedName>
    <definedName name="_8_Fill_4">#REF!</definedName>
    <definedName name="_9Excel_BuiltIn_Criteria_1">#REF!</definedName>
    <definedName name="_Fill">#REF!</definedName>
    <definedName name="_Fill_1">#REF!</definedName>
    <definedName name="_Fill_2">#REF!</definedName>
    <definedName name="_xlnm._FilterDatabase" localSheetId="3" hidden="1">'40萬版-10秒版 '!$A$8:$V$33</definedName>
    <definedName name="_xlnm._FilterDatabase" localSheetId="2" hidden="1">'40萬版-15秒版'!$A$8:$V$33</definedName>
    <definedName name="_xlnm._FilterDatabase" localSheetId="1" hidden="1">'40萬版-20秒版'!$A$8:$V$33</definedName>
    <definedName name="_xlnm._FilterDatabase" localSheetId="0" hidden="1">'40萬版-30秒版'!$A$8:$V$33</definedName>
    <definedName name="aaaa">#REF!</definedName>
    <definedName name="_xlnm.Criteria">#REF!</definedName>
    <definedName name="Excel_BuiltIn__FilterDatabase">'[1]3月'!#REF!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GG">#REF!</definedName>
    <definedName name="_xlnm.Print_Area" localSheetId="3">'40萬版-10秒版 '!$A$1:$V$35</definedName>
    <definedName name="_xlnm.Print_Area" localSheetId="2">'40萬版-15秒版'!$A$1:$V$35</definedName>
    <definedName name="_xlnm.Print_Area" localSheetId="1">'40萬版-20秒版'!$A$1:$V$35</definedName>
    <definedName name="_xlnm.Print_Area" localSheetId="0">'40萬版-30秒版'!$A$1:$V$35</definedName>
    <definedName name="_xlnm.Print_Titles" localSheetId="3">'40萬版-10秒版 '!$6:$8</definedName>
    <definedName name="_xlnm.Print_Titles" localSheetId="2">'40萬版-15秒版'!$6:$8</definedName>
    <definedName name="_xlnm.Print_Titles" localSheetId="1">'40萬版-20秒版'!$6:$8</definedName>
    <definedName name="_xlnm.Print_Titles" localSheetId="0">'40萬版-30秒版'!$6:$8</definedName>
    <definedName name="s">#REF!</definedName>
    <definedName name="我">#REF!</definedName>
    <definedName name="修">#REF!</definedName>
    <definedName name="修改2">#REF!</definedName>
    <definedName name="爆波執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9" l="1"/>
  <c r="G21" i="9"/>
  <c r="H20" i="9"/>
  <c r="H18" i="9"/>
  <c r="H17" i="9"/>
  <c r="H16" i="9"/>
  <c r="I15" i="9"/>
  <c r="J15" i="9" s="1"/>
  <c r="E15" i="9"/>
  <c r="H14" i="9"/>
  <c r="H12" i="9"/>
  <c r="H11" i="9"/>
  <c r="H10" i="9"/>
  <c r="I9" i="9"/>
  <c r="E9" i="9"/>
  <c r="I7" i="9"/>
  <c r="J7" i="9" s="1"/>
  <c r="K7" i="9" s="1"/>
  <c r="L7" i="9" s="1"/>
  <c r="M7" i="9" s="1"/>
  <c r="N7" i="9" s="1"/>
  <c r="O7" i="9" s="1"/>
  <c r="P7" i="9" s="1"/>
  <c r="L33" i="8"/>
  <c r="G21" i="8"/>
  <c r="H20" i="8"/>
  <c r="H18" i="8"/>
  <c r="H17" i="8"/>
  <c r="H16" i="8"/>
  <c r="I15" i="8"/>
  <c r="J15" i="8" s="1"/>
  <c r="E15" i="8"/>
  <c r="H14" i="8"/>
  <c r="H12" i="8"/>
  <c r="H11" i="8"/>
  <c r="H10" i="8"/>
  <c r="H13" i="8" s="1"/>
  <c r="I9" i="8"/>
  <c r="I14" i="8" s="1"/>
  <c r="E9" i="8"/>
  <c r="J7" i="8"/>
  <c r="K7" i="8" s="1"/>
  <c r="L7" i="8" s="1"/>
  <c r="M7" i="8" s="1"/>
  <c r="N7" i="8" s="1"/>
  <c r="O7" i="8" s="1"/>
  <c r="P7" i="8" s="1"/>
  <c r="I7" i="8"/>
  <c r="L33" i="7"/>
  <c r="G21" i="7"/>
  <c r="G23" i="7" s="1"/>
  <c r="H20" i="7"/>
  <c r="H18" i="7"/>
  <c r="H17" i="7"/>
  <c r="H16" i="7"/>
  <c r="I15" i="7"/>
  <c r="I20" i="7" s="1"/>
  <c r="E15" i="7"/>
  <c r="H14" i="7"/>
  <c r="H12" i="7"/>
  <c r="H11" i="7"/>
  <c r="H10" i="7"/>
  <c r="H13" i="7" s="1"/>
  <c r="I9" i="7"/>
  <c r="E9" i="7"/>
  <c r="I7" i="7"/>
  <c r="J7" i="7" s="1"/>
  <c r="K7" i="7" s="1"/>
  <c r="L7" i="7" s="1"/>
  <c r="M7" i="7" s="1"/>
  <c r="N7" i="7" s="1"/>
  <c r="O7" i="7" s="1"/>
  <c r="P7" i="7" s="1"/>
  <c r="H14" i="6"/>
  <c r="H12" i="6"/>
  <c r="H11" i="6"/>
  <c r="H10" i="6"/>
  <c r="I9" i="6"/>
  <c r="I11" i="6" s="1"/>
  <c r="E9" i="6"/>
  <c r="G24" i="7" l="1"/>
  <c r="I16" i="9"/>
  <c r="I19" i="9" s="1"/>
  <c r="J20" i="9"/>
  <c r="J18" i="9"/>
  <c r="K15" i="9"/>
  <c r="J17" i="9"/>
  <c r="J16" i="9"/>
  <c r="J19" i="9" s="1"/>
  <c r="I17" i="9"/>
  <c r="I10" i="9"/>
  <c r="I18" i="9"/>
  <c r="I11" i="9"/>
  <c r="H19" i="9"/>
  <c r="J9" i="9"/>
  <c r="I12" i="9"/>
  <c r="H13" i="9"/>
  <c r="I20" i="9"/>
  <c r="G23" i="9"/>
  <c r="G24" i="9" s="1"/>
  <c r="I14" i="9"/>
  <c r="I17" i="8"/>
  <c r="I20" i="8"/>
  <c r="J20" i="8"/>
  <c r="J18" i="8"/>
  <c r="J16" i="8"/>
  <c r="J19" i="8" s="1"/>
  <c r="J17" i="8"/>
  <c r="K15" i="8"/>
  <c r="I16" i="8"/>
  <c r="I19" i="8" s="1"/>
  <c r="J9" i="8"/>
  <c r="I18" i="8"/>
  <c r="I11" i="8"/>
  <c r="I10" i="8"/>
  <c r="H19" i="8"/>
  <c r="I12" i="8"/>
  <c r="G23" i="8"/>
  <c r="G24" i="8" s="1"/>
  <c r="I17" i="7"/>
  <c r="I18" i="7"/>
  <c r="J15" i="7"/>
  <c r="K15" i="7" s="1"/>
  <c r="I16" i="7"/>
  <c r="I19" i="7" s="1"/>
  <c r="I11" i="7"/>
  <c r="J9" i="7"/>
  <c r="H19" i="7"/>
  <c r="H21" i="7" s="1"/>
  <c r="I10" i="7"/>
  <c r="I12" i="7"/>
  <c r="I14" i="7"/>
  <c r="I12" i="6"/>
  <c r="H13" i="6"/>
  <c r="I14" i="6"/>
  <c r="J9" i="6"/>
  <c r="I10" i="6"/>
  <c r="H21" i="9" l="1"/>
  <c r="J14" i="9"/>
  <c r="J12" i="9"/>
  <c r="J11" i="9"/>
  <c r="J10" i="9"/>
  <c r="J13" i="9" s="1"/>
  <c r="K9" i="9"/>
  <c r="I13" i="9"/>
  <c r="I21" i="9" s="1"/>
  <c r="K20" i="9"/>
  <c r="L15" i="9"/>
  <c r="K18" i="9"/>
  <c r="K17" i="9"/>
  <c r="K16" i="9"/>
  <c r="K20" i="8"/>
  <c r="K18" i="8"/>
  <c r="K17" i="8"/>
  <c r="K16" i="8"/>
  <c r="L15" i="8"/>
  <c r="H21" i="8"/>
  <c r="I13" i="8"/>
  <c r="I21" i="8" s="1"/>
  <c r="J14" i="8"/>
  <c r="J12" i="8"/>
  <c r="J11" i="8"/>
  <c r="J10" i="8"/>
  <c r="K9" i="8"/>
  <c r="J18" i="7"/>
  <c r="J17" i="7"/>
  <c r="J20" i="7"/>
  <c r="J16" i="7"/>
  <c r="J19" i="7" s="1"/>
  <c r="J14" i="7"/>
  <c r="J12" i="7"/>
  <c r="J10" i="7"/>
  <c r="J13" i="7" s="1"/>
  <c r="J11" i="7"/>
  <c r="K9" i="7"/>
  <c r="K20" i="7"/>
  <c r="K17" i="7"/>
  <c r="K18" i="7"/>
  <c r="K16" i="7"/>
  <c r="K19" i="7" s="1"/>
  <c r="L15" i="7"/>
  <c r="I13" i="7"/>
  <c r="I21" i="7"/>
  <c r="I13" i="6"/>
  <c r="J11" i="6"/>
  <c r="J10" i="6"/>
  <c r="J13" i="6" s="1"/>
  <c r="K9" i="6"/>
  <c r="J12" i="6"/>
  <c r="J14" i="6"/>
  <c r="K14" i="9" l="1"/>
  <c r="K12" i="9"/>
  <c r="K11" i="9"/>
  <c r="K10" i="9"/>
  <c r="K13" i="9" s="1"/>
  <c r="L9" i="9"/>
  <c r="L20" i="9"/>
  <c r="L18" i="9"/>
  <c r="L17" i="9"/>
  <c r="L16" i="9"/>
  <c r="L19" i="9" s="1"/>
  <c r="M15" i="9"/>
  <c r="J21" i="9"/>
  <c r="K19" i="9"/>
  <c r="L20" i="8"/>
  <c r="L18" i="8"/>
  <c r="L17" i="8"/>
  <c r="M15" i="8"/>
  <c r="L16" i="8"/>
  <c r="L19" i="8" s="1"/>
  <c r="K14" i="8"/>
  <c r="K12" i="8"/>
  <c r="K11" i="8"/>
  <c r="K10" i="8"/>
  <c r="K13" i="8" s="1"/>
  <c r="L9" i="8"/>
  <c r="J13" i="8"/>
  <c r="J21" i="8" s="1"/>
  <c r="K19" i="8"/>
  <c r="K14" i="7"/>
  <c r="K11" i="7"/>
  <c r="K10" i="7"/>
  <c r="K13" i="7" s="1"/>
  <c r="L9" i="7"/>
  <c r="K12" i="7"/>
  <c r="J21" i="7"/>
  <c r="L20" i="7"/>
  <c r="L18" i="7"/>
  <c r="L17" i="7"/>
  <c r="L16" i="7"/>
  <c r="M15" i="7"/>
  <c r="L9" i="6"/>
  <c r="K10" i="6"/>
  <c r="K13" i="6" s="1"/>
  <c r="K12" i="6"/>
  <c r="K14" i="6"/>
  <c r="K11" i="6"/>
  <c r="M20" i="9" l="1"/>
  <c r="M18" i="9"/>
  <c r="M17" i="9"/>
  <c r="M16" i="9"/>
  <c r="N15" i="9"/>
  <c r="L14" i="9"/>
  <c r="L12" i="9"/>
  <c r="L11" i="9"/>
  <c r="L10" i="9"/>
  <c r="L13" i="9" s="1"/>
  <c r="M9" i="9"/>
  <c r="K21" i="9"/>
  <c r="L14" i="8"/>
  <c r="M9" i="8"/>
  <c r="L10" i="8"/>
  <c r="L13" i="8" s="1"/>
  <c r="L12" i="8"/>
  <c r="L11" i="8"/>
  <c r="K21" i="8"/>
  <c r="M20" i="8"/>
  <c r="M18" i="8"/>
  <c r="M17" i="8"/>
  <c r="M16" i="8"/>
  <c r="N15" i="8"/>
  <c r="L12" i="7"/>
  <c r="L11" i="7"/>
  <c r="L10" i="7"/>
  <c r="M9" i="7"/>
  <c r="L14" i="7"/>
  <c r="K21" i="7"/>
  <c r="M20" i="7"/>
  <c r="M18" i="7"/>
  <c r="N15" i="7"/>
  <c r="O15" i="7" s="1"/>
  <c r="M16" i="7"/>
  <c r="M19" i="7" s="1"/>
  <c r="M17" i="7"/>
  <c r="L19" i="7"/>
  <c r="L10" i="6"/>
  <c r="M9" i="6"/>
  <c r="L11" i="6"/>
  <c r="L14" i="6"/>
  <c r="L12" i="6"/>
  <c r="L21" i="9" l="1"/>
  <c r="N20" i="9"/>
  <c r="N18" i="9"/>
  <c r="N17" i="9"/>
  <c r="N16" i="9"/>
  <c r="N19" i="9" s="1"/>
  <c r="O15" i="9"/>
  <c r="M19" i="9"/>
  <c r="M12" i="9"/>
  <c r="M11" i="9"/>
  <c r="M10" i="9"/>
  <c r="M14" i="9"/>
  <c r="N9" i="9"/>
  <c r="N20" i="8"/>
  <c r="N17" i="8"/>
  <c r="N16" i="8"/>
  <c r="N19" i="8" s="1"/>
  <c r="O15" i="8"/>
  <c r="N18" i="8"/>
  <c r="M19" i="8"/>
  <c r="L21" i="8"/>
  <c r="M11" i="8"/>
  <c r="M10" i="8"/>
  <c r="M13" i="8" s="1"/>
  <c r="N9" i="8"/>
  <c r="O9" i="8" s="1"/>
  <c r="M14" i="8"/>
  <c r="M12" i="8"/>
  <c r="O16" i="7"/>
  <c r="O19" i="7" s="1"/>
  <c r="O17" i="7"/>
  <c r="O18" i="7"/>
  <c r="O20" i="7"/>
  <c r="P15" i="7"/>
  <c r="N20" i="7"/>
  <c r="N18" i="7"/>
  <c r="N17" i="7"/>
  <c r="N16" i="7"/>
  <c r="N19" i="7" s="1"/>
  <c r="M12" i="7"/>
  <c r="M11" i="7"/>
  <c r="M10" i="7"/>
  <c r="M13" i="7" s="1"/>
  <c r="N9" i="7"/>
  <c r="O9" i="7" s="1"/>
  <c r="M14" i="7"/>
  <c r="L13" i="7"/>
  <c r="L21" i="7" s="1"/>
  <c r="M11" i="6"/>
  <c r="N9" i="6"/>
  <c r="O9" i="6" s="1"/>
  <c r="M10" i="6"/>
  <c r="M13" i="6" s="1"/>
  <c r="M14" i="6"/>
  <c r="M12" i="6"/>
  <c r="L13" i="6"/>
  <c r="M21" i="7" l="1"/>
  <c r="O10" i="6"/>
  <c r="O13" i="6" s="1"/>
  <c r="O12" i="6"/>
  <c r="O11" i="6"/>
  <c r="P9" i="6"/>
  <c r="O14" i="6"/>
  <c r="N12" i="9"/>
  <c r="N11" i="9"/>
  <c r="N10" i="9"/>
  <c r="N13" i="9" s="1"/>
  <c r="O9" i="9"/>
  <c r="N14" i="9"/>
  <c r="M13" i="9"/>
  <c r="M21" i="9" s="1"/>
  <c r="O20" i="9"/>
  <c r="O18" i="9"/>
  <c r="O17" i="9"/>
  <c r="O16" i="9"/>
  <c r="P15" i="9"/>
  <c r="O10" i="8"/>
  <c r="O13" i="8" s="1"/>
  <c r="P9" i="8"/>
  <c r="O12" i="8"/>
  <c r="O11" i="8"/>
  <c r="O14" i="8"/>
  <c r="M21" i="8"/>
  <c r="N12" i="8"/>
  <c r="N10" i="8"/>
  <c r="N14" i="8"/>
  <c r="N11" i="8"/>
  <c r="O20" i="8"/>
  <c r="O17" i="8"/>
  <c r="O16" i="8"/>
  <c r="O19" i="8" s="1"/>
  <c r="O18" i="8"/>
  <c r="P15" i="8"/>
  <c r="Q15" i="7"/>
  <c r="P16" i="7"/>
  <c r="P19" i="7" s="1"/>
  <c r="P18" i="7"/>
  <c r="P17" i="7"/>
  <c r="P20" i="7"/>
  <c r="N12" i="7"/>
  <c r="N11" i="7"/>
  <c r="N14" i="7"/>
  <c r="N10" i="7"/>
  <c r="N10" i="6"/>
  <c r="N14" i="6"/>
  <c r="N11" i="6"/>
  <c r="N12" i="6"/>
  <c r="P14" i="6" l="1"/>
  <c r="Q9" i="6"/>
  <c r="P11" i="6"/>
  <c r="P10" i="6"/>
  <c r="P13" i="6" s="1"/>
  <c r="P12" i="6"/>
  <c r="O19" i="9"/>
  <c r="P18" i="9"/>
  <c r="P17" i="9"/>
  <c r="P16" i="9"/>
  <c r="P19" i="9" s="1"/>
  <c r="Q15" i="9"/>
  <c r="P20" i="9"/>
  <c r="O12" i="9"/>
  <c r="O11" i="9"/>
  <c r="O10" i="9"/>
  <c r="P9" i="9"/>
  <c r="O14" i="9"/>
  <c r="N21" i="9"/>
  <c r="P12" i="8"/>
  <c r="P11" i="8"/>
  <c r="Q9" i="8"/>
  <c r="P14" i="8"/>
  <c r="P10" i="8"/>
  <c r="P13" i="8" s="1"/>
  <c r="O21" i="8"/>
  <c r="P17" i="8"/>
  <c r="P16" i="8"/>
  <c r="P19" i="8" s="1"/>
  <c r="Q15" i="8"/>
  <c r="P18" i="8"/>
  <c r="P20" i="8"/>
  <c r="N13" i="8"/>
  <c r="N21" i="8" s="1"/>
  <c r="Q19" i="7"/>
  <c r="Q18" i="7"/>
  <c r="Q16" i="7"/>
  <c r="R15" i="7"/>
  <c r="Q20" i="7"/>
  <c r="Q17" i="7"/>
  <c r="O12" i="7"/>
  <c r="O11" i="7"/>
  <c r="P9" i="7"/>
  <c r="O10" i="7"/>
  <c r="O13" i="7" s="1"/>
  <c r="O14" i="7"/>
  <c r="N13" i="7"/>
  <c r="N21" i="7" s="1"/>
  <c r="N13" i="6"/>
  <c r="Q11" i="6" l="1"/>
  <c r="R9" i="6"/>
  <c r="Q10" i="6"/>
  <c r="Q13" i="6"/>
  <c r="Q12" i="6"/>
  <c r="Q14" i="6"/>
  <c r="O13" i="9"/>
  <c r="O21" i="9" s="1"/>
  <c r="Q19" i="9"/>
  <c r="Q20" i="9"/>
  <c r="Q18" i="9"/>
  <c r="Q17" i="9"/>
  <c r="Q16" i="9"/>
  <c r="R15" i="9"/>
  <c r="P12" i="9"/>
  <c r="P11" i="9"/>
  <c r="P10" i="9"/>
  <c r="P13" i="9" s="1"/>
  <c r="Q9" i="9"/>
  <c r="P14" i="9"/>
  <c r="Q11" i="8"/>
  <c r="R9" i="8"/>
  <c r="Q10" i="8"/>
  <c r="Q14" i="8"/>
  <c r="Q13" i="8"/>
  <c r="Q12" i="8"/>
  <c r="P21" i="8"/>
  <c r="Q19" i="8"/>
  <c r="Q18" i="8"/>
  <c r="R15" i="8"/>
  <c r="Q16" i="8"/>
  <c r="Q20" i="8"/>
  <c r="Q17" i="8"/>
  <c r="O21" i="7"/>
  <c r="R18" i="7"/>
  <c r="R16" i="7"/>
  <c r="R17" i="7"/>
  <c r="R20" i="7"/>
  <c r="R19" i="7"/>
  <c r="S15" i="7"/>
  <c r="P11" i="7"/>
  <c r="P10" i="7"/>
  <c r="P14" i="7"/>
  <c r="Q9" i="7"/>
  <c r="P12" i="7"/>
  <c r="P21" i="9" l="1"/>
  <c r="R13" i="6"/>
  <c r="S9" i="6"/>
  <c r="R11" i="6"/>
  <c r="R14" i="6"/>
  <c r="R10" i="6"/>
  <c r="R12" i="6"/>
  <c r="R18" i="9"/>
  <c r="R17" i="9"/>
  <c r="R16" i="9"/>
  <c r="S15" i="9"/>
  <c r="R20" i="9"/>
  <c r="R19" i="9"/>
  <c r="Q12" i="9"/>
  <c r="Q11" i="9"/>
  <c r="Q10" i="9"/>
  <c r="R9" i="9"/>
  <c r="Q13" i="9"/>
  <c r="Q14" i="9"/>
  <c r="Q21" i="8"/>
  <c r="R11" i="8"/>
  <c r="R10" i="8"/>
  <c r="S9" i="8"/>
  <c r="R14" i="8"/>
  <c r="R13" i="8"/>
  <c r="R12" i="8"/>
  <c r="R18" i="8"/>
  <c r="S15" i="8"/>
  <c r="R17" i="8"/>
  <c r="R20" i="8"/>
  <c r="R19" i="8"/>
  <c r="R16" i="8"/>
  <c r="S18" i="7"/>
  <c r="S16" i="7"/>
  <c r="S19" i="7" s="1"/>
  <c r="S17" i="7"/>
  <c r="S20" i="7"/>
  <c r="T15" i="7"/>
  <c r="P13" i="7"/>
  <c r="P21" i="7" s="1"/>
  <c r="Q11" i="7"/>
  <c r="Q10" i="7"/>
  <c r="Q13" i="7"/>
  <c r="Q14" i="7"/>
  <c r="R9" i="7"/>
  <c r="Q12" i="7"/>
  <c r="Q21" i="7" l="1"/>
  <c r="S14" i="6"/>
  <c r="T9" i="6"/>
  <c r="S10" i="6"/>
  <c r="S13" i="6" s="1"/>
  <c r="S12" i="6"/>
  <c r="S11" i="6"/>
  <c r="Q21" i="9"/>
  <c r="R11" i="9"/>
  <c r="R10" i="9"/>
  <c r="S9" i="9"/>
  <c r="R14" i="9"/>
  <c r="R12" i="9"/>
  <c r="R13" i="9"/>
  <c r="S18" i="9"/>
  <c r="S17" i="9"/>
  <c r="S16" i="9"/>
  <c r="S19" i="9" s="1"/>
  <c r="T15" i="9"/>
  <c r="S20" i="9"/>
  <c r="S11" i="8"/>
  <c r="S10" i="8"/>
  <c r="S13" i="8" s="1"/>
  <c r="S14" i="8"/>
  <c r="T9" i="8"/>
  <c r="S12" i="8"/>
  <c r="R21" i="8"/>
  <c r="S18" i="8"/>
  <c r="S17" i="8"/>
  <c r="S16" i="8"/>
  <c r="S19" i="8" s="1"/>
  <c r="T15" i="8"/>
  <c r="S20" i="8"/>
  <c r="T17" i="7"/>
  <c r="T16" i="7"/>
  <c r="T19" i="7" s="1"/>
  <c r="U15" i="7"/>
  <c r="V15" i="7" s="1"/>
  <c r="T20" i="7"/>
  <c r="T18" i="7"/>
  <c r="R10" i="7"/>
  <c r="S9" i="7"/>
  <c r="R14" i="7"/>
  <c r="R13" i="7"/>
  <c r="R12" i="7"/>
  <c r="R11" i="7"/>
  <c r="L33" i="6"/>
  <c r="G21" i="6"/>
  <c r="H20" i="6"/>
  <c r="H18" i="6"/>
  <c r="H17" i="6"/>
  <c r="H16" i="6"/>
  <c r="I15" i="6"/>
  <c r="J15" i="6" s="1"/>
  <c r="E15" i="6"/>
  <c r="I7" i="6"/>
  <c r="J7" i="6" s="1"/>
  <c r="K7" i="6" s="1"/>
  <c r="L7" i="6" s="1"/>
  <c r="M7" i="6" s="1"/>
  <c r="N7" i="6" s="1"/>
  <c r="O7" i="6" s="1"/>
  <c r="P7" i="6" s="1"/>
  <c r="T11" i="6" l="1"/>
  <c r="T10" i="6"/>
  <c r="T13" i="6" s="1"/>
  <c r="U9" i="6"/>
  <c r="T14" i="6"/>
  <c r="T12" i="6"/>
  <c r="R21" i="9"/>
  <c r="T17" i="9"/>
  <c r="T16" i="9"/>
  <c r="T19" i="9" s="1"/>
  <c r="U15" i="9"/>
  <c r="T18" i="9"/>
  <c r="T20" i="9"/>
  <c r="S10" i="9"/>
  <c r="S13" i="9" s="1"/>
  <c r="T9" i="9"/>
  <c r="S11" i="9"/>
  <c r="S12" i="9"/>
  <c r="S14" i="9"/>
  <c r="T10" i="8"/>
  <c r="T14" i="8"/>
  <c r="T12" i="8"/>
  <c r="T11" i="8"/>
  <c r="U9" i="8"/>
  <c r="S21" i="8"/>
  <c r="T17" i="8"/>
  <c r="T16" i="8"/>
  <c r="T19" i="8" s="1"/>
  <c r="U15" i="8"/>
  <c r="T20" i="8"/>
  <c r="T18" i="8"/>
  <c r="R21" i="7"/>
  <c r="W15" i="7"/>
  <c r="Z15" i="7"/>
  <c r="F15" i="7"/>
  <c r="Y15" i="7"/>
  <c r="F16" i="7"/>
  <c r="U17" i="7"/>
  <c r="V17" i="7" s="1"/>
  <c r="U16" i="7"/>
  <c r="U19" i="7" s="1"/>
  <c r="V19" i="7" s="1"/>
  <c r="U20" i="7"/>
  <c r="V20" i="7" s="1"/>
  <c r="U18" i="7"/>
  <c r="V18" i="7" s="1"/>
  <c r="S10" i="7"/>
  <c r="S13" i="7" s="1"/>
  <c r="T9" i="7"/>
  <c r="S14" i="7"/>
  <c r="S12" i="7"/>
  <c r="S11" i="7"/>
  <c r="I16" i="6"/>
  <c r="I19" i="6" s="1"/>
  <c r="I17" i="6"/>
  <c r="J20" i="6"/>
  <c r="J17" i="6"/>
  <c r="J16" i="6"/>
  <c r="J19" i="6" s="1"/>
  <c r="J18" i="6"/>
  <c r="K15" i="6"/>
  <c r="I18" i="6"/>
  <c r="H19" i="6"/>
  <c r="H21" i="6" s="1"/>
  <c r="I20" i="6"/>
  <c r="G23" i="6"/>
  <c r="G24" i="6" s="1"/>
  <c r="V16" i="7" l="1"/>
  <c r="Y16" i="7" s="1"/>
  <c r="U14" i="6"/>
  <c r="V14" i="6" s="1"/>
  <c r="U12" i="6"/>
  <c r="V12" i="6" s="1"/>
  <c r="U11" i="6"/>
  <c r="V11" i="6" s="1"/>
  <c r="U10" i="6"/>
  <c r="V9" i="6"/>
  <c r="S21" i="9"/>
  <c r="T10" i="9"/>
  <c r="T13" i="9" s="1"/>
  <c r="U9" i="9"/>
  <c r="T14" i="9"/>
  <c r="T12" i="9"/>
  <c r="T11" i="9"/>
  <c r="U17" i="9"/>
  <c r="V17" i="9" s="1"/>
  <c r="U18" i="9"/>
  <c r="V18" i="9" s="1"/>
  <c r="U16" i="9"/>
  <c r="U20" i="9"/>
  <c r="V20" i="9" s="1"/>
  <c r="V15" i="9"/>
  <c r="U12" i="8"/>
  <c r="V12" i="8" s="1"/>
  <c r="U11" i="8"/>
  <c r="V11" i="8" s="1"/>
  <c r="U10" i="8"/>
  <c r="U13" i="8" s="1"/>
  <c r="U14" i="8"/>
  <c r="V14" i="8" s="1"/>
  <c r="V9" i="8"/>
  <c r="W9" i="8" s="1"/>
  <c r="T13" i="8"/>
  <c r="U17" i="8"/>
  <c r="V17" i="8" s="1"/>
  <c r="U16" i="8"/>
  <c r="U20" i="8"/>
  <c r="V20" i="8" s="1"/>
  <c r="U18" i="8"/>
  <c r="V18" i="8" s="1"/>
  <c r="V15" i="8"/>
  <c r="W15" i="8" s="1"/>
  <c r="F18" i="7"/>
  <c r="Y18" i="7"/>
  <c r="Z18" i="7"/>
  <c r="Z20" i="7"/>
  <c r="Y20" i="7"/>
  <c r="F20" i="7"/>
  <c r="Z17" i="7"/>
  <c r="Y17" i="7"/>
  <c r="F17" i="7"/>
  <c r="Z19" i="7"/>
  <c r="F19" i="7"/>
  <c r="Y19" i="7"/>
  <c r="U9" i="7"/>
  <c r="T12" i="7"/>
  <c r="T14" i="7"/>
  <c r="T11" i="7"/>
  <c r="T10" i="7"/>
  <c r="T13" i="7" s="1"/>
  <c r="S21" i="7"/>
  <c r="K20" i="6"/>
  <c r="K18" i="6"/>
  <c r="K17" i="6"/>
  <c r="K16" i="6"/>
  <c r="L15" i="6"/>
  <c r="I21" i="6"/>
  <c r="J21" i="6"/>
  <c r="W21" i="8" l="1"/>
  <c r="V10" i="8"/>
  <c r="Y10" i="8" s="1"/>
  <c r="V13" i="8"/>
  <c r="Z13" i="8" s="1"/>
  <c r="Z16" i="7"/>
  <c r="F11" i="6"/>
  <c r="Y11" i="6"/>
  <c r="Z11" i="6"/>
  <c r="U13" i="6"/>
  <c r="V13" i="6" s="1"/>
  <c r="V10" i="6"/>
  <c r="Y9" i="6"/>
  <c r="F9" i="6"/>
  <c r="W9" i="6"/>
  <c r="Z9" i="6"/>
  <c r="F14" i="6"/>
  <c r="Z14" i="6"/>
  <c r="Y14" i="6"/>
  <c r="F12" i="6"/>
  <c r="Y12" i="6"/>
  <c r="Z12" i="6"/>
  <c r="T21" i="9"/>
  <c r="Z20" i="9"/>
  <c r="Y20" i="9"/>
  <c r="F20" i="9"/>
  <c r="F16" i="9"/>
  <c r="Z15" i="9"/>
  <c r="Y15" i="9"/>
  <c r="F15" i="9"/>
  <c r="W15" i="9"/>
  <c r="U19" i="9"/>
  <c r="V19" i="9" s="1"/>
  <c r="V16" i="9"/>
  <c r="Z18" i="9"/>
  <c r="Y18" i="9"/>
  <c r="F18" i="9"/>
  <c r="U14" i="9"/>
  <c r="V14" i="9" s="1"/>
  <c r="U10" i="9"/>
  <c r="U12" i="9"/>
  <c r="V12" i="9" s="1"/>
  <c r="U11" i="9"/>
  <c r="V11" i="9" s="1"/>
  <c r="V9" i="9"/>
  <c r="F17" i="9"/>
  <c r="Y17" i="9"/>
  <c r="Z17" i="9"/>
  <c r="F9" i="8"/>
  <c r="Y9" i="8"/>
  <c r="Z9" i="8"/>
  <c r="Y11" i="8"/>
  <c r="Z11" i="8"/>
  <c r="F11" i="8"/>
  <c r="F12" i="8"/>
  <c r="Z12" i="8"/>
  <c r="Y12" i="8"/>
  <c r="Y14" i="8"/>
  <c r="Z14" i="8"/>
  <c r="F14" i="8"/>
  <c r="T21" i="8"/>
  <c r="F16" i="8"/>
  <c r="Z15" i="8"/>
  <c r="Y15" i="8"/>
  <c r="F15" i="8"/>
  <c r="Z20" i="8"/>
  <c r="Y20" i="8"/>
  <c r="F20" i="8"/>
  <c r="Z17" i="8"/>
  <c r="Y17" i="8"/>
  <c r="F17" i="8"/>
  <c r="Y18" i="8"/>
  <c r="Z18" i="8"/>
  <c r="F18" i="8"/>
  <c r="U19" i="8"/>
  <c r="V19" i="8" s="1"/>
  <c r="V16" i="8"/>
  <c r="T21" i="7"/>
  <c r="U14" i="7"/>
  <c r="V14" i="7" s="1"/>
  <c r="U12" i="7"/>
  <c r="V12" i="7" s="1"/>
  <c r="U11" i="7"/>
  <c r="V11" i="7" s="1"/>
  <c r="U10" i="7"/>
  <c r="V9" i="7"/>
  <c r="K19" i="6"/>
  <c r="L16" i="6"/>
  <c r="L19" i="6" s="1"/>
  <c r="L20" i="6"/>
  <c r="L18" i="6"/>
  <c r="L17" i="6"/>
  <c r="M15" i="6"/>
  <c r="Z10" i="8" l="1"/>
  <c r="F10" i="8"/>
  <c r="Y13" i="8"/>
  <c r="F13" i="8"/>
  <c r="F9" i="7"/>
  <c r="F10" i="6"/>
  <c r="Y10" i="6"/>
  <c r="Z10" i="6"/>
  <c r="F13" i="6"/>
  <c r="Y13" i="6"/>
  <c r="Z13" i="6"/>
  <c r="U13" i="9"/>
  <c r="V13" i="9" s="1"/>
  <c r="V10" i="9"/>
  <c r="Y16" i="9"/>
  <c r="Z16" i="9"/>
  <c r="Z14" i="9"/>
  <c r="Y14" i="9"/>
  <c r="F14" i="9"/>
  <c r="W9" i="9"/>
  <c r="W21" i="9" s="1"/>
  <c r="F9" i="9"/>
  <c r="Z9" i="9"/>
  <c r="Y9" i="9"/>
  <c r="Z11" i="9"/>
  <c r="Y11" i="9"/>
  <c r="F11" i="9"/>
  <c r="Z19" i="9"/>
  <c r="Y19" i="9"/>
  <c r="F19" i="9"/>
  <c r="Z12" i="9"/>
  <c r="Y12" i="9"/>
  <c r="F12" i="9"/>
  <c r="V21" i="8"/>
  <c r="Y16" i="8"/>
  <c r="Z16" i="8"/>
  <c r="Z19" i="8"/>
  <c r="Y19" i="8"/>
  <c r="F19" i="8"/>
  <c r="U21" i="8"/>
  <c r="W9" i="7"/>
  <c r="W21" i="7" s="1"/>
  <c r="U13" i="7"/>
  <c r="V13" i="7" s="1"/>
  <c r="V10" i="7"/>
  <c r="Z12" i="7"/>
  <c r="Y12" i="7"/>
  <c r="F12" i="7"/>
  <c r="Z9" i="7"/>
  <c r="Y9" i="7"/>
  <c r="F11" i="7"/>
  <c r="Y11" i="7"/>
  <c r="Z11" i="7"/>
  <c r="Y14" i="7"/>
  <c r="Z14" i="7"/>
  <c r="F14" i="7"/>
  <c r="L21" i="6"/>
  <c r="K21" i="6"/>
  <c r="M20" i="6"/>
  <c r="M18" i="6"/>
  <c r="M17" i="6"/>
  <c r="M16" i="6"/>
  <c r="M19" i="6" s="1"/>
  <c r="N15" i="6"/>
  <c r="P15" i="6" l="1"/>
  <c r="Q15" i="6" s="1"/>
  <c r="V21" i="7"/>
  <c r="U21" i="9"/>
  <c r="F21" i="8"/>
  <c r="U21" i="7"/>
  <c r="V21" i="9"/>
  <c r="Y10" i="9"/>
  <c r="F10" i="9"/>
  <c r="Z10" i="9"/>
  <c r="Z13" i="9"/>
  <c r="Y13" i="9"/>
  <c r="F13" i="9"/>
  <c r="Y24" i="8"/>
  <c r="Z24" i="8"/>
  <c r="Z10" i="7"/>
  <c r="Y10" i="7"/>
  <c r="F10" i="7"/>
  <c r="Z13" i="7"/>
  <c r="Y13" i="7"/>
  <c r="F13" i="7"/>
  <c r="N20" i="6"/>
  <c r="N18" i="6"/>
  <c r="N17" i="6"/>
  <c r="N16" i="6"/>
  <c r="M21" i="6"/>
  <c r="Y24" i="9" l="1"/>
  <c r="Z24" i="9"/>
  <c r="F21" i="9"/>
  <c r="Y24" i="7"/>
  <c r="Z24" i="7"/>
  <c r="F21" i="7"/>
  <c r="N19" i="6"/>
  <c r="N21" i="6" s="1"/>
  <c r="O20" i="6"/>
  <c r="O18" i="6"/>
  <c r="O17" i="6"/>
  <c r="O16" i="6"/>
  <c r="O19" i="6" s="1"/>
  <c r="O21" i="6" l="1"/>
  <c r="P18" i="6"/>
  <c r="P17" i="6"/>
  <c r="P16" i="6"/>
  <c r="P19" i="6" s="1"/>
  <c r="R15" i="6"/>
  <c r="P20" i="6"/>
  <c r="Q19" i="6" l="1"/>
  <c r="Q18" i="6"/>
  <c r="Q17" i="6"/>
  <c r="Q16" i="6"/>
  <c r="Q20" i="6"/>
  <c r="P21" i="6"/>
  <c r="Q21" i="6" l="1"/>
  <c r="R18" i="6"/>
  <c r="R17" i="6"/>
  <c r="R16" i="6"/>
  <c r="S15" i="6"/>
  <c r="R20" i="6"/>
  <c r="R19" i="6"/>
  <c r="R21" i="6" l="1"/>
  <c r="S18" i="6"/>
  <c r="S17" i="6"/>
  <c r="S16" i="6"/>
  <c r="S19" i="6" s="1"/>
  <c r="T15" i="6"/>
  <c r="S20" i="6"/>
  <c r="S21" i="6" l="1"/>
  <c r="T17" i="6"/>
  <c r="T16" i="6"/>
  <c r="T19" i="6" s="1"/>
  <c r="U15" i="6"/>
  <c r="T20" i="6"/>
  <c r="T18" i="6"/>
  <c r="T21" i="6" l="1"/>
  <c r="U17" i="6"/>
  <c r="V17" i="6" s="1"/>
  <c r="F17" i="6" s="1"/>
  <c r="U16" i="6"/>
  <c r="U20" i="6"/>
  <c r="V20" i="6" s="1"/>
  <c r="F20" i="6" s="1"/>
  <c r="U18" i="6"/>
  <c r="V18" i="6" s="1"/>
  <c r="F18" i="6" s="1"/>
  <c r="V15" i="6"/>
  <c r="W15" i="6" l="1"/>
  <c r="W21" i="6" s="1"/>
  <c r="F15" i="6"/>
  <c r="F16" i="6"/>
  <c r="Z18" i="6"/>
  <c r="Y18" i="6"/>
  <c r="Z17" i="6"/>
  <c r="Y17" i="6"/>
  <c r="Z20" i="6"/>
  <c r="Y20" i="6"/>
  <c r="Z15" i="6"/>
  <c r="Y15" i="6"/>
  <c r="U19" i="6"/>
  <c r="V19" i="6" s="1"/>
  <c r="F19" i="6" s="1"/>
  <c r="V16" i="6"/>
  <c r="V21" i="6" l="1"/>
  <c r="F21" i="6"/>
  <c r="Z19" i="6"/>
  <c r="Y19" i="6"/>
  <c r="U21" i="6"/>
  <c r="Y16" i="6"/>
  <c r="Y24" i="6" s="1"/>
  <c r="Z16" i="6"/>
  <c r="Z24" i="6" s="1"/>
</calcChain>
</file>

<file path=xl/sharedStrings.xml><?xml version="1.0" encoding="utf-8"?>
<sst xmlns="http://schemas.openxmlformats.org/spreadsheetml/2006/main" count="320" uniqueCount="59">
  <si>
    <t xml:space="preserve">               Media Schedule</t>
    <phoneticPr fontId="5" type="noConversion"/>
  </si>
  <si>
    <t>客戶名稱：</t>
    <phoneticPr fontId="5" type="noConversion"/>
  </si>
  <si>
    <t>Product：</t>
    <phoneticPr fontId="5" type="noConversion"/>
  </si>
  <si>
    <t xml:space="preserve">Period : </t>
    <phoneticPr fontId="5" type="noConversion"/>
  </si>
  <si>
    <t xml:space="preserve">Medium : </t>
    <phoneticPr fontId="5" type="noConversion"/>
  </si>
  <si>
    <t>Station</t>
    <phoneticPr fontId="10" type="noConversion"/>
  </si>
  <si>
    <t>Location</t>
    <phoneticPr fontId="10" type="noConversion"/>
  </si>
  <si>
    <t>Program</t>
    <phoneticPr fontId="10" type="noConversion"/>
  </si>
  <si>
    <t>Day-part</t>
    <phoneticPr fontId="10" type="noConversion"/>
  </si>
  <si>
    <t>Size</t>
    <phoneticPr fontId="5" type="noConversion"/>
  </si>
  <si>
    <t>rate   (Net)</t>
    <phoneticPr fontId="10" type="noConversion"/>
  </si>
  <si>
    <t>Package-cost
(Net)</t>
    <phoneticPr fontId="10" type="noConversion"/>
  </si>
  <si>
    <t>檔次</t>
    <phoneticPr fontId="5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</si>
  <si>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</si>
  <si>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</si>
  <si>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</si>
  <si>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</si>
  <si>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</si>
  <si>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</si>
  <si>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日</t>
    <phoneticPr fontId="4" type="noConversion"/>
  </si>
  <si>
    <t>格蘭英語走期確認</t>
  </si>
  <si>
    <t>總曝光次數</t>
    <phoneticPr fontId="4" type="noConversion"/>
  </si>
  <si>
    <t>曝光期間
店舖總人流量</t>
    <phoneticPr fontId="4" type="noConversion"/>
  </si>
  <si>
    <t>廣播北</t>
    <phoneticPr fontId="5" type="noConversion"/>
  </si>
  <si>
    <t>桃區-桃竹苗</t>
  </si>
  <si>
    <t>Total</t>
    <phoneticPr fontId="10" type="noConversion"/>
  </si>
  <si>
    <t>製作</t>
    <phoneticPr fontId="5" type="noConversion"/>
  </si>
  <si>
    <t>5% VAT</t>
    <phoneticPr fontId="5" type="noConversion"/>
  </si>
  <si>
    <t>Grand Total</t>
    <phoneticPr fontId="5" type="noConversion"/>
  </si>
  <si>
    <t>Remarks：</t>
  </si>
  <si>
    <t>2.以上節目名稱如有異動，以上檔時節目名稱為主，如遇時段滿檔，上檔時間挪後或更換至同級時段。</t>
    <phoneticPr fontId="5" type="noConversion"/>
  </si>
  <si>
    <t>3.通路店鋪數與開機率開機率至少七成(以上)。每日因加盟數調整，或遇店舖年度季度改裝、設備維護升級及保修等狀況，會有一定幅度增減。</t>
    <phoneticPr fontId="5" type="noConversion"/>
  </si>
  <si>
    <t>乙    方：</t>
    <phoneticPr fontId="5" type="noConversion"/>
  </si>
  <si>
    <t>統一編號：</t>
  </si>
  <si>
    <t>客戶簽章：</t>
  </si>
  <si>
    <t>4.託播方需於上檔前 5 個工作天，提供廣告帶(mp3)。</t>
    <phoneticPr fontId="5" type="noConversion"/>
  </si>
  <si>
    <t>中區-中彰投雲</t>
    <phoneticPr fontId="4" type="noConversion"/>
  </si>
  <si>
    <t>南區-高屏</t>
    <phoneticPr fontId="4" type="noConversion"/>
  </si>
  <si>
    <t>南區-霊嘉南</t>
    <phoneticPr fontId="4" type="noConversion"/>
  </si>
  <si>
    <t>東區-宜花東</t>
    <phoneticPr fontId="4" type="noConversion"/>
  </si>
  <si>
    <t>計價模式</t>
    <phoneticPr fontId="4" type="noConversion"/>
  </si>
  <si>
    <t>20秒</t>
    <phoneticPr fontId="5" type="noConversion"/>
  </si>
  <si>
    <t>2026. 09. 21 - 2026. 10. 04</t>
    <phoneticPr fontId="5" type="noConversion"/>
  </si>
  <si>
    <t>9月</t>
    <phoneticPr fontId="4" type="noConversion"/>
  </si>
  <si>
    <t>1.請於 2026/09/14 (一) 下午17:00前 回簽及進單，方可順利上檔。</t>
    <phoneticPr fontId="5" type="noConversion"/>
  </si>
  <si>
    <t>5.雙方同意費用請款月份 : 月          ，如有修正必要，將另行E-Mail告知，並視為正式合約之一部分。</t>
    <phoneticPr fontId="5" type="noConversion"/>
  </si>
  <si>
    <t>6.付款兌現日期：115.XX.XX</t>
    <phoneticPr fontId="5" type="noConversion"/>
  </si>
  <si>
    <t>甲       方 ：</t>
    <phoneticPr fontId="5" type="noConversion"/>
  </si>
  <si>
    <t>統一編號：</t>
    <phoneticPr fontId="5" type="noConversion"/>
  </si>
  <si>
    <t xml:space="preserve">  承辦人：</t>
    <phoneticPr fontId="4" type="noConversion"/>
  </si>
  <si>
    <t>10秒</t>
    <phoneticPr fontId="5" type="noConversion"/>
  </si>
  <si>
    <t>15秒</t>
    <phoneticPr fontId="5" type="noConversion"/>
  </si>
  <si>
    <t>30秒</t>
    <phoneticPr fontId="5" type="noConversion"/>
  </si>
  <si>
    <t xml:space="preserve">全家便利商店
全家新鮮視
 (全家電視)  </t>
    <phoneticPr fontId="5" type="noConversion"/>
  </si>
  <si>
    <t>北區-北北基</t>
    <phoneticPr fontId="4" type="noConversion"/>
  </si>
  <si>
    <t>06-24</t>
    <phoneticPr fontId="5" type="noConversion"/>
  </si>
  <si>
    <t xml:space="preserve">全家便利商店
通路廣播廣告 </t>
    <phoneticPr fontId="5" type="noConversion"/>
  </si>
  <si>
    <t>07-23</t>
    <phoneticPr fontId="5" type="noConversion"/>
  </si>
  <si>
    <t>全家企頻 / 新鮮視  專案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</si>
</sst>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d"/>
    <numFmt numFmtId="177" formatCode="dd"/>
    <numFmt numFmtId="178" formatCode="[$-404]aaa;@"/>
    <numFmt numFmtId="180" formatCode="#,##0&quot;&quot;&quot;秒&quot;&quot;&quot;"/>
    <numFmt numFmtId="181" formatCode="_-* #,##0_-;\-* #,##0_-;_-* &quot;-&quot;??_-;_-@_-"/>
    <numFmt numFmtId="182" formatCode="#,##0&quot;&quot;&quot;店&quot;&quot;&quot;"/>
    <numFmt numFmtId="183" formatCode="#,##0;[Red]#,##0"/>
    <numFmt numFmtId="184" formatCode="#,##0_ "/>
  </numFmts>
  <fonts count="3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4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2"/>
      <name val="Century Gothic"/>
      <family val="2"/>
    </font>
    <font>
      <sz val="9"/>
      <name val="新細明體"/>
      <family val="1"/>
      <charset val="136"/>
    </font>
    <font>
      <b/>
      <sz val="2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Century Gothic"/>
      <family val="2"/>
    </font>
    <font>
      <b/>
      <sz val="26"/>
      <name val="微軟正黑體"/>
      <family val="2"/>
      <charset val="136"/>
    </font>
    <font>
      <sz val="26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26"/>
      <color theme="1"/>
      <name val="Century Gothic"/>
      <family val="2"/>
    </font>
    <font>
      <sz val="26"/>
      <color theme="1"/>
      <name val="Microsoft JhengHei"/>
      <family val="2"/>
      <charset val="136"/>
    </font>
    <font>
      <sz val="26"/>
      <name val="Century Gothic"/>
      <family val="2"/>
    </font>
    <font>
      <sz val="28"/>
      <name val="微軟正黑體"/>
      <family val="2"/>
      <charset val="136"/>
    </font>
    <font>
      <b/>
      <sz val="28"/>
      <name val="微軟正黑體"/>
      <family val="2"/>
      <charset val="136"/>
    </font>
    <font>
      <sz val="22"/>
      <color rgb="FF000099"/>
      <name val="微軟正黑體"/>
      <family val="2"/>
      <charset val="136"/>
    </font>
    <font>
      <b/>
      <sz val="22"/>
      <color rgb="FF000099"/>
      <name val="微軟正黑體"/>
      <family val="2"/>
      <charset val="136"/>
    </font>
    <font>
      <sz val="22"/>
      <color rgb="FF00009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38" fontId="6" fillId="2" borderId="0" xfId="1" applyNumberFormat="1" applyFont="1" applyFill="1">
      <alignment vertical="center"/>
    </xf>
    <xf numFmtId="38" fontId="7" fillId="2" borderId="1" xfId="1" applyNumberFormat="1" applyFont="1" applyFill="1" applyBorder="1" applyAlignment="1">
      <alignment horizontal="centerContinuous" vertical="center"/>
    </xf>
    <xf numFmtId="38" fontId="7" fillId="2" borderId="1" xfId="1" applyNumberFormat="1" applyFont="1" applyFill="1" applyBorder="1" applyAlignment="1">
      <alignment horizontal="center" vertical="top"/>
    </xf>
    <xf numFmtId="38" fontId="7" fillId="2" borderId="1" xfId="1" applyNumberFormat="1" applyFont="1" applyFill="1" applyBorder="1" applyAlignment="1">
      <alignment horizontal="centerContinuous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38" fontId="7" fillId="2" borderId="1" xfId="1" applyNumberFormat="1" applyFont="1" applyFill="1" applyBorder="1" applyAlignment="1">
      <alignment horizontal="center" vertical="center"/>
    </xf>
    <xf numFmtId="38" fontId="8" fillId="2" borderId="1" xfId="1" applyNumberFormat="1" applyFont="1" applyFill="1" applyBorder="1" applyAlignment="1">
      <alignment horizontal="center" vertical="center"/>
    </xf>
    <xf numFmtId="38" fontId="6" fillId="2" borderId="0" xfId="1" applyNumberFormat="1" applyFont="1" applyFill="1" applyAlignment="1">
      <alignment horizontal="center" vertical="center"/>
    </xf>
    <xf numFmtId="38" fontId="12" fillId="0" borderId="0" xfId="1" applyNumberFormat="1" applyFont="1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 wrapText="1"/>
    </xf>
    <xf numFmtId="38" fontId="14" fillId="2" borderId="0" xfId="1" applyNumberFormat="1" applyFont="1" applyFill="1">
      <alignment vertical="center"/>
    </xf>
    <xf numFmtId="38" fontId="15" fillId="2" borderId="0" xfId="1" applyNumberFormat="1" applyFont="1" applyFill="1">
      <alignment vertical="center"/>
    </xf>
    <xf numFmtId="0" fontId="15" fillId="2" borderId="0" xfId="2" applyFont="1" applyFill="1">
      <alignment vertical="center"/>
    </xf>
    <xf numFmtId="181" fontId="14" fillId="2" borderId="35" xfId="6" applyNumberFormat="1" applyFont="1" applyFill="1" applyBorder="1" applyAlignment="1">
      <alignment vertical="center"/>
    </xf>
    <xf numFmtId="184" fontId="17" fillId="2" borderId="36" xfId="7" applyNumberFormat="1" applyFont="1" applyFill="1" applyBorder="1" applyAlignment="1">
      <alignment horizontal="left"/>
    </xf>
    <xf numFmtId="0" fontId="13" fillId="2" borderId="0" xfId="2" applyFont="1" applyFill="1">
      <alignment vertical="center"/>
    </xf>
    <xf numFmtId="181" fontId="14" fillId="2" borderId="39" xfId="6" applyNumberFormat="1" applyFont="1" applyFill="1" applyBorder="1" applyAlignment="1">
      <alignment vertical="center"/>
    </xf>
    <xf numFmtId="184" fontId="17" fillId="2" borderId="40" xfId="7" applyNumberFormat="1" applyFont="1" applyFill="1" applyBorder="1" applyAlignment="1">
      <alignment horizontal="left" vertical="center"/>
    </xf>
    <xf numFmtId="38" fontId="13" fillId="2" borderId="0" xfId="1" applyNumberFormat="1" applyFont="1" applyFill="1">
      <alignment vertical="center"/>
    </xf>
    <xf numFmtId="181" fontId="18" fillId="4" borderId="11" xfId="6" applyNumberFormat="1" applyFont="1" applyFill="1" applyBorder="1" applyAlignment="1">
      <alignment vertical="center" wrapText="1"/>
    </xf>
    <xf numFmtId="0" fontId="21" fillId="2" borderId="45" xfId="2" applyFont="1" applyFill="1" applyBorder="1" applyAlignment="1">
      <alignment horizontal="left" vertical="center" indent="2"/>
    </xf>
    <xf numFmtId="38" fontId="18" fillId="2" borderId="45" xfId="1" applyNumberFormat="1" applyFont="1" applyFill="1" applyBorder="1" applyAlignment="1">
      <alignment vertical="center" wrapText="1"/>
    </xf>
    <xf numFmtId="49" fontId="18" fillId="2" borderId="45" xfId="8" applyNumberFormat="1" applyFont="1" applyFill="1" applyBorder="1" applyAlignment="1">
      <alignment horizontal="center" vertical="center"/>
    </xf>
    <xf numFmtId="38" fontId="18" fillId="2" borderId="45" xfId="8" applyNumberFormat="1" applyFont="1" applyFill="1" applyBorder="1" applyAlignment="1">
      <alignment horizontal="center" vertical="center"/>
    </xf>
    <xf numFmtId="38" fontId="21" fillId="2" borderId="45" xfId="8" applyNumberFormat="1" applyFont="1" applyFill="1" applyBorder="1" applyAlignment="1">
      <alignment horizontal="center" vertical="center"/>
    </xf>
    <xf numFmtId="38" fontId="18" fillId="2" borderId="0" xfId="1" applyNumberFormat="1" applyFont="1" applyFill="1">
      <alignment vertical="center"/>
    </xf>
    <xf numFmtId="0" fontId="9" fillId="0" borderId="0" xfId="2">
      <alignment vertical="center"/>
    </xf>
    <xf numFmtId="0" fontId="22" fillId="0" borderId="0" xfId="2" applyFont="1">
      <alignment vertical="center"/>
    </xf>
    <xf numFmtId="0" fontId="16" fillId="0" borderId="4" xfId="2" applyFont="1" applyBorder="1" applyAlignment="1">
      <alignment horizontal="center" vertical="center" wrapText="1"/>
    </xf>
    <xf numFmtId="181" fontId="16" fillId="2" borderId="15" xfId="6" applyNumberFormat="1" applyFont="1" applyFill="1" applyBorder="1" applyAlignment="1">
      <alignment horizontal="center" vertical="center"/>
    </xf>
    <xf numFmtId="181" fontId="16" fillId="0" borderId="15" xfId="6" applyNumberFormat="1" applyFont="1" applyBorder="1" applyAlignment="1">
      <alignment horizontal="center" vertical="center"/>
    </xf>
    <xf numFmtId="38" fontId="15" fillId="2" borderId="0" xfId="1" applyNumberFormat="1" applyFont="1" applyFill="1" applyAlignment="1">
      <alignment horizontal="center" vertical="center"/>
    </xf>
    <xf numFmtId="38" fontId="16" fillId="2" borderId="0" xfId="1" applyNumberFormat="1" applyFont="1" applyFill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3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4" fillId="2" borderId="2" xfId="2" applyFont="1" applyFill="1" applyBorder="1" applyAlignment="1">
      <alignment horizontal="center" vertical="center"/>
    </xf>
    <xf numFmtId="38" fontId="23" fillId="2" borderId="0" xfId="1" applyNumberFormat="1" applyFont="1" applyFill="1" applyAlignment="1">
      <alignment horizontal="left" vertical="center"/>
    </xf>
    <xf numFmtId="38" fontId="24" fillId="2" borderId="0" xfId="1" applyNumberFormat="1" applyFont="1" applyFill="1" applyAlignment="1">
      <alignment vertical="center" wrapText="1"/>
    </xf>
    <xf numFmtId="38" fontId="24" fillId="2" borderId="0" xfId="1" applyNumberFormat="1" applyFont="1" applyFill="1" applyAlignment="1">
      <alignment horizontal="center" vertical="center"/>
    </xf>
    <xf numFmtId="38" fontId="2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vertical="center"/>
    </xf>
    <xf numFmtId="38" fontId="23" fillId="2" borderId="0" xfId="1" applyNumberFormat="1" applyFont="1" applyFill="1" applyAlignment="1">
      <alignment horizontal="right" vertical="center"/>
    </xf>
    <xf numFmtId="38" fontId="23" fillId="0" borderId="0" xfId="1" applyNumberFormat="1" applyFont="1" applyAlignment="1">
      <alignment horizontal="center" vertical="center"/>
    </xf>
    <xf numFmtId="38" fontId="24" fillId="0" borderId="0" xfId="1" applyNumberFormat="1" applyFont="1" applyAlignment="1">
      <alignment horizontal="center" vertical="center"/>
    </xf>
    <xf numFmtId="38" fontId="11" fillId="0" borderId="0" xfId="1" applyNumberFormat="1" applyFont="1" applyAlignment="1">
      <alignment horizontal="center" vertical="center"/>
    </xf>
    <xf numFmtId="176" fontId="7" fillId="2" borderId="7" xfId="2" applyNumberFormat="1" applyFont="1" applyFill="1" applyBorder="1" applyAlignment="1">
      <alignment horizontal="center" vertical="center"/>
    </xf>
    <xf numFmtId="178" fontId="7" fillId="0" borderId="13" xfId="4" applyNumberFormat="1" applyFont="1" applyBorder="1" applyAlignment="1">
      <alignment horizontal="center" vertical="center"/>
    </xf>
    <xf numFmtId="0" fontId="20" fillId="0" borderId="17" xfId="2" applyFont="1" applyBorder="1" applyAlignment="1">
      <alignment horizontal="center" vertical="center" wrapText="1"/>
    </xf>
    <xf numFmtId="38" fontId="20" fillId="2" borderId="17" xfId="1" applyNumberFormat="1" applyFont="1" applyFill="1" applyBorder="1" applyAlignment="1">
      <alignment horizontal="center" vertical="center" wrapText="1"/>
    </xf>
    <xf numFmtId="0" fontId="20" fillId="0" borderId="19" xfId="5" applyFont="1" applyBorder="1" applyAlignment="1">
      <alignment horizontal="center" vertical="center"/>
    </xf>
    <xf numFmtId="0" fontId="20" fillId="0" borderId="20" xfId="5" applyFont="1" applyBorder="1" applyAlignment="1">
      <alignment horizontal="center" vertical="center"/>
    </xf>
    <xf numFmtId="38" fontId="20" fillId="2" borderId="21" xfId="1" applyNumberFormat="1" applyFont="1" applyFill="1" applyBorder="1" applyAlignment="1">
      <alignment horizontal="center" vertical="center"/>
    </xf>
    <xf numFmtId="0" fontId="20" fillId="0" borderId="23" xfId="2" applyFont="1" applyBorder="1" applyAlignment="1">
      <alignment horizontal="center" vertical="center" wrapText="1"/>
    </xf>
    <xf numFmtId="182" fontId="20" fillId="0" borderId="23" xfId="2" applyNumberFormat="1" applyFont="1" applyBorder="1" applyAlignment="1">
      <alignment horizontal="center" vertical="center" wrapText="1"/>
    </xf>
    <xf numFmtId="38" fontId="20" fillId="2" borderId="23" xfId="1" applyNumberFormat="1" applyFont="1" applyFill="1" applyBorder="1" applyAlignment="1">
      <alignment horizontal="center" vertical="center" wrapText="1"/>
    </xf>
    <xf numFmtId="0" fontId="20" fillId="0" borderId="24" xfId="5" applyFont="1" applyBorder="1" applyAlignment="1">
      <alignment horizontal="center" vertical="center"/>
    </xf>
    <xf numFmtId="0" fontId="20" fillId="0" borderId="25" xfId="5" applyFont="1" applyBorder="1" applyAlignment="1">
      <alignment horizontal="center" vertical="center"/>
    </xf>
    <xf numFmtId="38" fontId="20" fillId="2" borderId="26" xfId="1" applyNumberFormat="1" applyFont="1" applyFill="1" applyBorder="1" applyAlignment="1">
      <alignment horizontal="center" vertical="center"/>
    </xf>
    <xf numFmtId="182" fontId="20" fillId="0" borderId="17" xfId="2" applyNumberFormat="1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182" fontId="20" fillId="0" borderId="10" xfId="2" applyNumberFormat="1" applyFont="1" applyBorder="1" applyAlignment="1">
      <alignment horizontal="center" vertical="center" wrapText="1"/>
    </xf>
    <xf numFmtId="38" fontId="20" fillId="2" borderId="10" xfId="1" applyNumberFormat="1" applyFont="1" applyFill="1" applyBorder="1" applyAlignment="1">
      <alignment horizontal="center" vertical="center" wrapText="1"/>
    </xf>
    <xf numFmtId="0" fontId="20" fillId="0" borderId="28" xfId="5" applyFont="1" applyBorder="1" applyAlignment="1">
      <alignment horizontal="center" vertical="center"/>
    </xf>
    <xf numFmtId="0" fontId="20" fillId="0" borderId="29" xfId="5" applyFont="1" applyBorder="1" applyAlignment="1">
      <alignment horizontal="center" vertical="center"/>
    </xf>
    <xf numFmtId="38" fontId="20" fillId="2" borderId="30" xfId="1" applyNumberFormat="1" applyFont="1" applyFill="1" applyBorder="1" applyAlignment="1">
      <alignment horizontal="center" vertical="center"/>
    </xf>
    <xf numFmtId="3" fontId="20" fillId="2" borderId="1" xfId="7" applyNumberFormat="1" applyFont="1" applyFill="1" applyBorder="1" applyAlignment="1">
      <alignment horizontal="center" vertical="center"/>
    </xf>
    <xf numFmtId="0" fontId="20" fillId="2" borderId="32" xfId="7" applyFont="1" applyFill="1" applyBorder="1" applyAlignment="1">
      <alignment horizontal="center" vertical="center"/>
    </xf>
    <xf numFmtId="0" fontId="20" fillId="2" borderId="33" xfId="7" applyFont="1" applyFill="1" applyBorder="1" applyAlignment="1">
      <alignment horizontal="center" vertical="center"/>
    </xf>
    <xf numFmtId="183" fontId="20" fillId="2" borderId="33" xfId="7" applyNumberFormat="1" applyFont="1" applyFill="1" applyBorder="1" applyAlignment="1">
      <alignment horizontal="center" vertical="center" wrapText="1"/>
    </xf>
    <xf numFmtId="183" fontId="19" fillId="2" borderId="34" xfId="7" applyNumberFormat="1" applyFont="1" applyFill="1" applyBorder="1" applyAlignment="1">
      <alignment horizontal="center" vertical="center" wrapText="1"/>
    </xf>
    <xf numFmtId="38" fontId="20" fillId="0" borderId="33" xfId="7" applyNumberFormat="1" applyFont="1" applyBorder="1" applyAlignment="1">
      <alignment horizontal="center" vertical="center" wrapText="1"/>
    </xf>
    <xf numFmtId="38" fontId="20" fillId="0" borderId="14" xfId="7" applyNumberFormat="1" applyFont="1" applyBorder="1" applyAlignment="1">
      <alignment horizontal="center" vertical="center" wrapText="1"/>
    </xf>
    <xf numFmtId="0" fontId="20" fillId="2" borderId="2" xfId="7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left" vertical="center"/>
    </xf>
    <xf numFmtId="0" fontId="20" fillId="0" borderId="36" xfId="2" applyFont="1" applyBorder="1" applyAlignment="1">
      <alignment horizontal="center" vertical="center"/>
    </xf>
    <xf numFmtId="183" fontId="19" fillId="2" borderId="37" xfId="7" applyNumberFormat="1" applyFont="1" applyFill="1" applyBorder="1" applyAlignment="1">
      <alignment horizontal="center" vertical="center" wrapText="1"/>
    </xf>
    <xf numFmtId="183" fontId="20" fillId="2" borderId="0" xfId="7" applyNumberFormat="1" applyFont="1" applyFill="1" applyAlignment="1">
      <alignment vertical="center" wrapText="1"/>
    </xf>
    <xf numFmtId="183" fontId="20" fillId="2" borderId="38" xfId="7" applyNumberFormat="1" applyFont="1" applyFill="1" applyBorder="1" applyAlignment="1">
      <alignment vertical="center" wrapText="1"/>
    </xf>
    <xf numFmtId="0" fontId="20" fillId="2" borderId="0" xfId="7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0" fontId="20" fillId="0" borderId="41" xfId="2" applyFont="1" applyBorder="1" applyAlignment="1">
      <alignment horizontal="center" vertical="center"/>
    </xf>
    <xf numFmtId="183" fontId="19" fillId="2" borderId="42" xfId="7" applyNumberFormat="1" applyFont="1" applyFill="1" applyBorder="1" applyAlignment="1">
      <alignment horizontal="center" vertical="center" wrapText="1"/>
    </xf>
    <xf numFmtId="184" fontId="20" fillId="2" borderId="31" xfId="7" applyNumberFormat="1" applyFont="1" applyFill="1" applyBorder="1" applyAlignment="1">
      <alignment horizontal="left" vertical="top"/>
    </xf>
    <xf numFmtId="38" fontId="20" fillId="2" borderId="1" xfId="1" applyNumberFormat="1" applyFont="1" applyFill="1" applyBorder="1" applyAlignment="1">
      <alignment vertical="center" wrapText="1"/>
    </xf>
    <xf numFmtId="49" fontId="20" fillId="2" borderId="1" xfId="8" applyNumberFormat="1" applyFont="1" applyFill="1" applyBorder="1" applyAlignment="1">
      <alignment horizontal="center" vertical="center"/>
    </xf>
    <xf numFmtId="0" fontId="20" fillId="0" borderId="43" xfId="2" applyFont="1" applyBorder="1" applyAlignment="1">
      <alignment horizontal="center" vertical="center"/>
    </xf>
    <xf numFmtId="38" fontId="19" fillId="2" borderId="44" xfId="8" applyNumberFormat="1" applyFont="1" applyFill="1" applyBorder="1" applyAlignment="1">
      <alignment horizontal="center" vertical="center"/>
    </xf>
    <xf numFmtId="183" fontId="20" fillId="2" borderId="1" xfId="7" applyNumberFormat="1" applyFont="1" applyFill="1" applyBorder="1" applyAlignment="1">
      <alignment vertical="center" wrapText="1"/>
    </xf>
    <xf numFmtId="183" fontId="20" fillId="2" borderId="44" xfId="7" applyNumberFormat="1" applyFont="1" applyFill="1" applyBorder="1" applyAlignment="1">
      <alignment vertical="center" wrapText="1"/>
    </xf>
    <xf numFmtId="38" fontId="25" fillId="2" borderId="0" xfId="1" applyNumberFormat="1" applyFont="1" applyFill="1">
      <alignment vertical="center"/>
    </xf>
    <xf numFmtId="38" fontId="25" fillId="2" borderId="0" xfId="1" applyNumberFormat="1" applyFont="1" applyFill="1" applyAlignment="1">
      <alignment vertical="center" wrapText="1"/>
    </xf>
    <xf numFmtId="49" fontId="25" fillId="2" borderId="0" xfId="8" applyNumberFormat="1" applyFont="1" applyFill="1" applyAlignment="1">
      <alignment horizontal="center" vertical="center"/>
    </xf>
    <xf numFmtId="0" fontId="26" fillId="0" borderId="0" xfId="2" applyFont="1" applyAlignment="1">
      <alignment horizontal="right" vertical="center"/>
    </xf>
    <xf numFmtId="38" fontId="25" fillId="0" borderId="0" xfId="8" applyNumberFormat="1" applyFont="1" applyAlignment="1">
      <alignment horizontal="center" vertical="center"/>
    </xf>
    <xf numFmtId="0" fontId="27" fillId="2" borderId="0" xfId="2" applyFont="1" applyFill="1" applyAlignment="1">
      <alignment horizontal="left" vertical="center" indent="2"/>
    </xf>
    <xf numFmtId="38" fontId="26" fillId="2" borderId="0" xfId="8" applyNumberFormat="1" applyFont="1" applyFill="1" applyAlignment="1">
      <alignment horizontal="right" vertical="center"/>
    </xf>
    <xf numFmtId="0" fontId="28" fillId="0" borderId="0" xfId="2" applyFont="1">
      <alignment vertical="center"/>
    </xf>
    <xf numFmtId="38" fontId="26" fillId="2" borderId="0" xfId="1" applyNumberFormat="1" applyFont="1" applyFill="1" applyAlignment="1">
      <alignment horizontal="center" vertical="center"/>
    </xf>
    <xf numFmtId="38" fontId="26" fillId="2" borderId="0" xfId="1" applyNumberFormat="1" applyFont="1" applyFill="1">
      <alignment vertical="center"/>
    </xf>
    <xf numFmtId="0" fontId="25" fillId="2" borderId="0" xfId="2" applyFont="1" applyFill="1" applyAlignment="1">
      <alignment horizontal="left" vertical="center" indent="2"/>
    </xf>
    <xf numFmtId="38" fontId="25" fillId="2" borderId="0" xfId="8" applyNumberFormat="1" applyFont="1" applyFill="1" applyAlignment="1">
      <alignment horizontal="center" vertical="center"/>
    </xf>
    <xf numFmtId="38" fontId="26" fillId="2" borderId="0" xfId="8" applyNumberFormat="1" applyFont="1" applyFill="1" applyAlignment="1">
      <alignment vertical="center"/>
    </xf>
    <xf numFmtId="38" fontId="25" fillId="2" borderId="0" xfId="8" applyNumberFormat="1" applyFont="1" applyFill="1" applyAlignment="1">
      <alignment horizontal="right" vertical="center"/>
    </xf>
    <xf numFmtId="38" fontId="26" fillId="2" borderId="0" xfId="8" applyNumberFormat="1" applyFont="1" applyFill="1" applyAlignment="1">
      <alignment horizontal="center" vertical="center"/>
    </xf>
    <xf numFmtId="38" fontId="25" fillId="2" borderId="0" xfId="8" applyNumberFormat="1" applyFont="1" applyFill="1" applyAlignment="1">
      <alignment vertical="center"/>
    </xf>
    <xf numFmtId="183" fontId="25" fillId="2" borderId="0" xfId="7" applyNumberFormat="1" applyFont="1" applyFill="1" applyAlignment="1">
      <alignment horizontal="right" vertical="center" wrapText="1"/>
    </xf>
    <xf numFmtId="38" fontId="26" fillId="2" borderId="0" xfId="1" applyNumberFormat="1" applyFont="1" applyFill="1" applyAlignment="1">
      <alignment vertical="center" wrapText="1"/>
    </xf>
    <xf numFmtId="49" fontId="26" fillId="2" borderId="0" xfId="8" applyNumberFormat="1" applyFont="1" applyFill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0" xfId="9" applyFont="1" applyAlignment="1">
      <alignment vertical="center" wrapText="1"/>
    </xf>
    <xf numFmtId="0" fontId="29" fillId="0" borderId="0" xfId="9" applyFont="1">
      <alignment vertical="center"/>
    </xf>
    <xf numFmtId="0" fontId="30" fillId="0" borderId="0" xfId="2" applyFont="1">
      <alignment vertical="center"/>
    </xf>
    <xf numFmtId="0" fontId="23" fillId="2" borderId="0" xfId="2" applyFont="1" applyFill="1">
      <alignment vertical="center"/>
    </xf>
    <xf numFmtId="0" fontId="24" fillId="2" borderId="0" xfId="2" applyFont="1" applyFill="1">
      <alignment vertical="center"/>
    </xf>
    <xf numFmtId="38" fontId="24" fillId="2" borderId="0" xfId="1" applyNumberFormat="1" applyFont="1" applyFill="1">
      <alignment vertical="center"/>
    </xf>
    <xf numFmtId="0" fontId="31" fillId="2" borderId="0" xfId="2" applyFont="1" applyFill="1">
      <alignment vertical="center"/>
    </xf>
    <xf numFmtId="38" fontId="31" fillId="2" borderId="0" xfId="1" applyNumberFormat="1" applyFont="1" applyFill="1">
      <alignment vertical="center"/>
    </xf>
    <xf numFmtId="38" fontId="32" fillId="0" borderId="0" xfId="1" applyNumberFormat="1" applyFont="1">
      <alignment vertical="center"/>
    </xf>
    <xf numFmtId="38" fontId="33" fillId="2" borderId="0" xfId="1" applyNumberFormat="1" applyFont="1" applyFill="1" applyAlignment="1">
      <alignment horizontal="center" vertical="center"/>
    </xf>
    <xf numFmtId="0" fontId="33" fillId="2" borderId="0" xfId="2" applyFont="1" applyFill="1" applyAlignment="1">
      <alignment horizontal="center" vertical="center"/>
    </xf>
    <xf numFmtId="10" fontId="34" fillId="0" borderId="0" xfId="10" applyNumberFormat="1" applyFont="1" applyAlignment="1">
      <alignment horizontal="center" vertical="center"/>
    </xf>
    <xf numFmtId="38" fontId="34" fillId="2" borderId="0" xfId="1" applyNumberFormat="1" applyFont="1" applyFill="1" applyAlignment="1">
      <alignment horizontal="center" vertical="center"/>
    </xf>
    <xf numFmtId="38" fontId="34" fillId="2" borderId="0" xfId="2" applyNumberFormat="1" applyFont="1" applyFill="1" applyAlignment="1">
      <alignment horizontal="center" vertical="center"/>
    </xf>
    <xf numFmtId="0" fontId="34" fillId="2" borderId="0" xfId="2" applyFont="1" applyFill="1" applyAlignment="1">
      <alignment horizontal="center" vertical="center"/>
    </xf>
    <xf numFmtId="0" fontId="35" fillId="0" borderId="0" xfId="2" applyFont="1" applyAlignment="1">
      <alignment horizontal="center" vertical="center"/>
    </xf>
    <xf numFmtId="40" fontId="33" fillId="2" borderId="0" xfId="1" applyNumberFormat="1" applyFont="1" applyFill="1" applyAlignment="1">
      <alignment horizontal="center" vertical="center"/>
    </xf>
    <xf numFmtId="40" fontId="34" fillId="0" borderId="0" xfId="1" applyNumberFormat="1" applyFont="1" applyAlignment="1">
      <alignment horizontal="center" vertical="center"/>
    </xf>
    <xf numFmtId="0" fontId="29" fillId="0" borderId="0" xfId="9" applyFont="1" applyAlignment="1">
      <alignment horizontal="left" vertical="center" wrapText="1"/>
    </xf>
    <xf numFmtId="0" fontId="29" fillId="0" borderId="0" xfId="9" applyFont="1" applyAlignment="1">
      <alignment horizontal="left" vertical="center"/>
    </xf>
    <xf numFmtId="0" fontId="20" fillId="2" borderId="31" xfId="7" applyFont="1" applyFill="1" applyBorder="1" applyAlignment="1">
      <alignment horizontal="center" vertical="center"/>
    </xf>
    <xf numFmtId="0" fontId="20" fillId="2" borderId="1" xfId="7" applyFont="1" applyFill="1" applyBorder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46" xfId="9" applyFont="1" applyBorder="1" applyAlignment="1">
      <alignment horizontal="left" vertical="center" wrapText="1"/>
    </xf>
    <xf numFmtId="0" fontId="29" fillId="0" borderId="46" xfId="9" applyFont="1" applyBorder="1" applyAlignment="1">
      <alignment horizontal="center" vertical="center" wrapText="1"/>
    </xf>
    <xf numFmtId="180" fontId="20" fillId="0" borderId="17" xfId="1" applyNumberFormat="1" applyFont="1" applyBorder="1" applyAlignment="1">
      <alignment horizontal="center" vertical="center"/>
    </xf>
    <xf numFmtId="38" fontId="19" fillId="2" borderId="18" xfId="1" applyNumberFormat="1" applyFont="1" applyFill="1" applyBorder="1" applyAlignment="1">
      <alignment horizontal="center" vertical="center" wrapText="1"/>
    </xf>
    <xf numFmtId="38" fontId="19" fillId="2" borderId="27" xfId="1" applyNumberFormat="1" applyFont="1" applyFill="1" applyBorder="1" applyAlignment="1">
      <alignment horizontal="center" vertical="center" wrapText="1"/>
    </xf>
    <xf numFmtId="0" fontId="20" fillId="0" borderId="22" xfId="2" applyFont="1" applyBorder="1" applyAlignment="1">
      <alignment horizontal="center" vertical="center" wrapText="1"/>
    </xf>
    <xf numFmtId="0" fontId="20" fillId="0" borderId="16" xfId="2" applyFont="1" applyBorder="1" applyAlignment="1">
      <alignment horizontal="center" vertical="center" wrapText="1"/>
    </xf>
    <xf numFmtId="0" fontId="20" fillId="0" borderId="47" xfId="2" applyFont="1" applyBorder="1" applyAlignment="1">
      <alignment horizontal="center" vertical="center" wrapText="1"/>
    </xf>
    <xf numFmtId="0" fontId="20" fillId="0" borderId="9" xfId="2" applyFont="1" applyBorder="1" applyAlignment="1">
      <alignment horizontal="center" vertical="center" wrapText="1"/>
    </xf>
    <xf numFmtId="49" fontId="20" fillId="0" borderId="23" xfId="1" quotePrefix="1" applyNumberFormat="1" applyFont="1" applyBorder="1" applyAlignment="1">
      <alignment horizontal="center" vertical="center"/>
    </xf>
    <xf numFmtId="49" fontId="20" fillId="0" borderId="17" xfId="1" applyNumberFormat="1" applyFont="1" applyBorder="1" applyAlignment="1">
      <alignment horizontal="center" vertical="center"/>
    </xf>
    <xf numFmtId="49" fontId="20" fillId="0" borderId="48" xfId="1" applyNumberFormat="1" applyFont="1" applyBorder="1" applyAlignment="1">
      <alignment horizontal="center" vertical="center"/>
    </xf>
    <xf numFmtId="49" fontId="20" fillId="0" borderId="10" xfId="1" applyNumberFormat="1" applyFont="1" applyBorder="1" applyAlignment="1">
      <alignment horizontal="center" vertical="center"/>
    </xf>
    <xf numFmtId="180" fontId="20" fillId="0" borderId="23" xfId="1" applyNumberFormat="1" applyFont="1" applyBorder="1" applyAlignment="1">
      <alignment horizontal="center" vertical="center"/>
    </xf>
    <xf numFmtId="180" fontId="20" fillId="0" borderId="48" xfId="1" applyNumberFormat="1" applyFont="1" applyBorder="1" applyAlignment="1">
      <alignment horizontal="center" vertical="center"/>
    </xf>
    <xf numFmtId="180" fontId="20" fillId="0" borderId="10" xfId="1" applyNumberFormat="1" applyFont="1" applyBorder="1" applyAlignment="1">
      <alignment horizontal="center" vertical="center"/>
    </xf>
    <xf numFmtId="38" fontId="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horizontal="center" vertical="center"/>
    </xf>
    <xf numFmtId="38" fontId="8" fillId="0" borderId="3" xfId="1" applyNumberFormat="1" applyFont="1" applyBorder="1" applyAlignment="1">
      <alignment horizontal="center" vertical="center"/>
    </xf>
    <xf numFmtId="38" fontId="8" fillId="0" borderId="9" xfId="1" applyNumberFormat="1" applyFont="1" applyBorder="1" applyAlignment="1">
      <alignment horizontal="center" vertical="center"/>
    </xf>
    <xf numFmtId="38" fontId="8" fillId="0" borderId="4" xfId="1" applyNumberFormat="1" applyFont="1" applyBorder="1" applyAlignment="1">
      <alignment horizontal="center" vertical="center"/>
    </xf>
    <xf numFmtId="38" fontId="8" fillId="0" borderId="10" xfId="1" applyNumberFormat="1" applyFont="1" applyBorder="1" applyAlignment="1">
      <alignment horizontal="center" vertical="center"/>
    </xf>
    <xf numFmtId="38" fontId="8" fillId="0" borderId="5" xfId="1" applyNumberFormat="1" applyFont="1" applyBorder="1" applyAlignment="1">
      <alignment horizontal="center" vertical="center" wrapText="1"/>
    </xf>
    <xf numFmtId="38" fontId="8" fillId="0" borderId="11" xfId="1" applyNumberFormat="1" applyFont="1" applyBorder="1" applyAlignment="1">
      <alignment horizontal="center" vertical="center" wrapText="1"/>
    </xf>
    <xf numFmtId="38" fontId="8" fillId="0" borderId="4" xfId="1" applyNumberFormat="1" applyFont="1" applyBorder="1" applyAlignment="1">
      <alignment horizontal="center" vertical="center" wrapText="1"/>
    </xf>
    <xf numFmtId="38" fontId="8" fillId="0" borderId="10" xfId="1" applyNumberFormat="1" applyFont="1" applyBorder="1" applyAlignment="1">
      <alignment horizontal="center" vertical="center" wrapText="1"/>
    </xf>
    <xf numFmtId="38" fontId="7" fillId="0" borderId="6" xfId="1" applyNumberFormat="1" applyFont="1" applyBorder="1" applyAlignment="1">
      <alignment horizontal="center" vertical="center" wrapText="1"/>
    </xf>
    <xf numFmtId="38" fontId="7" fillId="0" borderId="12" xfId="1" applyNumberFormat="1" applyFont="1" applyBorder="1" applyAlignment="1">
      <alignment horizontal="center" vertical="center" wrapText="1"/>
    </xf>
    <xf numFmtId="177" fontId="8" fillId="0" borderId="8" xfId="1" applyNumberFormat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center" vertical="center"/>
    </xf>
  </cellXfs>
  <cellStyles count="11">
    <cellStyle name="一般" xfId="0" builtinId="0"/>
    <cellStyle name="一般 2" xfId="2" xr:uid="{8AABE3C2-F2FC-43C6-8518-E9E1C8A19391}"/>
    <cellStyle name="一般 3_FY09 Debit Education and Channel Promotion-Radio" xfId="1" xr:uid="{4AD2F9A8-AE9A-47D3-9156-4D582F13D9F8}"/>
    <cellStyle name="一般 4" xfId="9" xr:uid="{83F1AAA2-4E76-49BE-A0FF-76835B35A0B8}"/>
    <cellStyle name="一般_8803-05RD_TOYOTA2005.06_TOYOTA2006.04" xfId="4" xr:uid="{D97908F6-D595-443B-A7A9-5283C6ED28B4}"/>
    <cellStyle name="一般_ballatine's RD CUE_Visa 2008 debit全國加油站-20秒-OUT(1117)-IR_FY09 Debit Education and Channel Promotion-Radio" xfId="8" xr:uid="{18EFDD20-EECA-4AB9-B665-110C0B76B5B4}"/>
    <cellStyle name="一般_ballatine's RD CUE_渣打 1215-0101(1124)" xfId="7" xr:uid="{FDAB049D-E960-4C88-95BE-5E86B517B00B}"/>
    <cellStyle name="一般_ICBC-新卡上市930701sales_980519 昇恒昌季約150萬成本版_0616-0719-山頂鳥_1000531 山頂鳥80萬成本版" xfId="5" xr:uid="{976B0A4B-82AF-4304-9C2D-72494EB65FB6}"/>
    <cellStyle name="千分位 2" xfId="6" xr:uid="{AECA83B9-8D17-478B-86BF-7E4C4BDCD568}"/>
    <cellStyle name="百分比" xfId="10" builtinId="5"/>
    <cellStyle name="百分比 3" xfId="3" xr:uid="{07683C72-4272-471E-A96F-C4DF05C74F9A}"/>
  </cellStyles>
  <dxfs count="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" TargetMode="External"/><Relationship Id="rId2" Type="http://schemas.microsoft.com/office/2019/04/relationships/externalLinkLongPath" Target="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?4AE9043D" TargetMode="External"/><Relationship Id="rId1" Type="http://schemas.openxmlformats.org/officeDocument/2006/relationships/externalLinkPath" Target="file:///\\4AE9043D\1000310%20&#20116;&#31119;&#22283;&#38555;&#26053;&#34892;&#31038;&#24180;&#32004;&#25104;&#26412;&#29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3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80C8-EB29-43DD-BD85-DD5A5ACE8BC7}">
  <sheetPr>
    <tabColor rgb="FFFFFF00"/>
    <pageSetUpPr fitToPage="1"/>
  </sheetPr>
  <dimension ref="A1:AB36"/>
  <sheetViews>
    <sheetView showGridLines="0" tabSelected="1" view="pageBreakPreview" zoomScale="35" zoomScaleNormal="60" zoomScaleSheetLayoutView="35" zoomScalePageLayoutView="75" workbookViewId="0">
      <selection activeCell="AC18" sqref="AC18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52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1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3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30秒</v>
      </c>
      <c r="F9" s="58">
        <f>250000/480*V9*W6</f>
        <v>116666.66666666667</v>
      </c>
      <c r="G9" s="139">
        <v>400000</v>
      </c>
      <c r="H9" s="59">
        <v>16</v>
      </c>
      <c r="I9" s="60">
        <f>H9</f>
        <v>16</v>
      </c>
      <c r="J9" s="60">
        <f t="shared" ref="J9:U11" si="1">I9</f>
        <v>16</v>
      </c>
      <c r="K9" s="60">
        <f t="shared" si="1"/>
        <v>16</v>
      </c>
      <c r="L9" s="60">
        <f t="shared" si="1"/>
        <v>16</v>
      </c>
      <c r="M9" s="60">
        <f t="shared" si="1"/>
        <v>16</v>
      </c>
      <c r="N9" s="60">
        <f t="shared" si="1"/>
        <v>16</v>
      </c>
      <c r="O9" s="60">
        <f>N9</f>
        <v>16</v>
      </c>
      <c r="P9" s="60">
        <f t="shared" ref="P9:R15" si="2">O9</f>
        <v>16</v>
      </c>
      <c r="Q9" s="60">
        <f t="shared" si="2"/>
        <v>16</v>
      </c>
      <c r="R9" s="60">
        <f t="shared" si="2"/>
        <v>16</v>
      </c>
      <c r="S9" s="60">
        <f>R9</f>
        <v>16</v>
      </c>
      <c r="T9" s="60">
        <f t="shared" si="1"/>
        <v>16</v>
      </c>
      <c r="U9" s="60">
        <f t="shared" si="1"/>
        <v>16</v>
      </c>
      <c r="V9" s="61">
        <f t="shared" ref="V9:V20" si="3">SUM(H9:U9)</f>
        <v>224</v>
      </c>
      <c r="W9" s="125">
        <f>320000/480*W6*V9</f>
        <v>149333.33333333331</v>
      </c>
      <c r="X9" s="30" t="s">
        <v>23</v>
      </c>
      <c r="Y9" s="31">
        <f t="shared" ref="Y9:Y14" si="4">V9*C9</f>
        <v>374752</v>
      </c>
      <c r="Z9" s="32">
        <f t="shared" ref="Z9:Z14" si="5">1000*(C9/24/6)*V9</f>
        <v>2602444.444444444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70000</v>
      </c>
      <c r="G10" s="139"/>
      <c r="H10" s="53">
        <f>H9</f>
        <v>16</v>
      </c>
      <c r="I10" s="54">
        <f>I9</f>
        <v>16</v>
      </c>
      <c r="J10" s="54">
        <f t="shared" ref="J10:U10" si="6">J9</f>
        <v>16</v>
      </c>
      <c r="K10" s="54">
        <f t="shared" si="6"/>
        <v>16</v>
      </c>
      <c r="L10" s="54">
        <f t="shared" si="6"/>
        <v>16</v>
      </c>
      <c r="M10" s="54">
        <f t="shared" si="6"/>
        <v>16</v>
      </c>
      <c r="N10" s="54">
        <f t="shared" si="6"/>
        <v>16</v>
      </c>
      <c r="O10" s="54">
        <f t="shared" si="6"/>
        <v>16</v>
      </c>
      <c r="P10" s="54">
        <f t="shared" si="6"/>
        <v>16</v>
      </c>
      <c r="Q10" s="54">
        <f>Q9</f>
        <v>16</v>
      </c>
      <c r="R10" s="54">
        <f>R9</f>
        <v>16</v>
      </c>
      <c r="S10" s="54">
        <f t="shared" si="6"/>
        <v>16</v>
      </c>
      <c r="T10" s="54">
        <f t="shared" si="6"/>
        <v>16</v>
      </c>
      <c r="U10" s="54">
        <f t="shared" si="6"/>
        <v>16</v>
      </c>
      <c r="V10" s="55">
        <f t="shared" si="3"/>
        <v>224</v>
      </c>
      <c r="W10" s="125"/>
      <c r="X10" s="30" t="s">
        <v>23</v>
      </c>
      <c r="Y10" s="31">
        <f t="shared" si="4"/>
        <v>176512</v>
      </c>
      <c r="Z10" s="32">
        <f t="shared" si="5"/>
        <v>1225777.777777778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70000</v>
      </c>
      <c r="G11" s="139"/>
      <c r="H11" s="53">
        <f>H9</f>
        <v>16</v>
      </c>
      <c r="I11" s="54">
        <f>I9</f>
        <v>16</v>
      </c>
      <c r="J11" s="54">
        <f t="shared" ref="J11:U11" si="7">J9</f>
        <v>16</v>
      </c>
      <c r="K11" s="54">
        <f t="shared" si="7"/>
        <v>16</v>
      </c>
      <c r="L11" s="54">
        <f t="shared" si="7"/>
        <v>16</v>
      </c>
      <c r="M11" s="54">
        <f t="shared" si="7"/>
        <v>16</v>
      </c>
      <c r="N11" s="54">
        <f t="shared" si="7"/>
        <v>16</v>
      </c>
      <c r="O11" s="54">
        <f t="shared" si="7"/>
        <v>16</v>
      </c>
      <c r="P11" s="54">
        <f t="shared" si="7"/>
        <v>16</v>
      </c>
      <c r="Q11" s="54">
        <f>Q9</f>
        <v>16</v>
      </c>
      <c r="R11" s="54">
        <f>R9</f>
        <v>16</v>
      </c>
      <c r="S11" s="54">
        <f t="shared" si="7"/>
        <v>16</v>
      </c>
      <c r="T11" s="54">
        <f t="shared" si="7"/>
        <v>16</v>
      </c>
      <c r="U11" s="54">
        <f t="shared" si="7"/>
        <v>16</v>
      </c>
      <c r="V11" s="55">
        <f t="shared" si="3"/>
        <v>224</v>
      </c>
      <c r="W11" s="125"/>
      <c r="X11" s="30" t="s">
        <v>23</v>
      </c>
      <c r="Y11" s="31">
        <f t="shared" si="4"/>
        <v>190400</v>
      </c>
      <c r="Z11" s="32">
        <f t="shared" si="5"/>
        <v>1322222.222222222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46666.666666666672</v>
      </c>
      <c r="G12" s="139"/>
      <c r="H12" s="53">
        <f t="shared" ref="H12:U13" si="8">H9</f>
        <v>16</v>
      </c>
      <c r="I12" s="54">
        <f t="shared" si="8"/>
        <v>16</v>
      </c>
      <c r="J12" s="54">
        <f t="shared" si="8"/>
        <v>16</v>
      </c>
      <c r="K12" s="54">
        <f t="shared" si="8"/>
        <v>16</v>
      </c>
      <c r="L12" s="54">
        <f t="shared" si="8"/>
        <v>16</v>
      </c>
      <c r="M12" s="54">
        <f t="shared" si="8"/>
        <v>16</v>
      </c>
      <c r="N12" s="54">
        <f t="shared" si="8"/>
        <v>16</v>
      </c>
      <c r="O12" s="54">
        <f t="shared" si="8"/>
        <v>16</v>
      </c>
      <c r="P12" s="54">
        <f t="shared" si="8"/>
        <v>16</v>
      </c>
      <c r="Q12" s="54">
        <f>Q9</f>
        <v>16</v>
      </c>
      <c r="R12" s="54">
        <f>R9</f>
        <v>16</v>
      </c>
      <c r="S12" s="54">
        <f t="shared" si="8"/>
        <v>16</v>
      </c>
      <c r="T12" s="54">
        <f t="shared" si="8"/>
        <v>16</v>
      </c>
      <c r="U12" s="54">
        <f t="shared" si="8"/>
        <v>16</v>
      </c>
      <c r="V12" s="55">
        <f t="shared" si="3"/>
        <v>224</v>
      </c>
      <c r="W12" s="125"/>
      <c r="X12" s="30" t="s">
        <v>23</v>
      </c>
      <c r="Y12" s="31">
        <f t="shared" si="4"/>
        <v>112224</v>
      </c>
      <c r="Z12" s="32">
        <f t="shared" si="5"/>
        <v>779333.33333333326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46666.666666666672</v>
      </c>
      <c r="G13" s="139"/>
      <c r="H13" s="53">
        <f t="shared" si="8"/>
        <v>16</v>
      </c>
      <c r="I13" s="54">
        <f t="shared" si="8"/>
        <v>16</v>
      </c>
      <c r="J13" s="54">
        <f t="shared" si="8"/>
        <v>16</v>
      </c>
      <c r="K13" s="54">
        <f t="shared" si="8"/>
        <v>16</v>
      </c>
      <c r="L13" s="54">
        <f t="shared" si="8"/>
        <v>16</v>
      </c>
      <c r="M13" s="54">
        <f t="shared" si="8"/>
        <v>16</v>
      </c>
      <c r="N13" s="54">
        <f t="shared" si="8"/>
        <v>16</v>
      </c>
      <c r="O13" s="54">
        <f t="shared" si="8"/>
        <v>16</v>
      </c>
      <c r="P13" s="54">
        <f t="shared" si="8"/>
        <v>16</v>
      </c>
      <c r="Q13" s="54">
        <f>Q9</f>
        <v>16</v>
      </c>
      <c r="R13" s="54">
        <f>R9</f>
        <v>16</v>
      </c>
      <c r="S13" s="54">
        <f t="shared" si="8"/>
        <v>16</v>
      </c>
      <c r="T13" s="54">
        <f t="shared" si="8"/>
        <v>16</v>
      </c>
      <c r="U13" s="54">
        <f t="shared" si="8"/>
        <v>16</v>
      </c>
      <c r="V13" s="55">
        <f t="shared" si="3"/>
        <v>224</v>
      </c>
      <c r="W13" s="125"/>
      <c r="X13" s="30" t="s">
        <v>23</v>
      </c>
      <c r="Y13" s="31">
        <f t="shared" si="4"/>
        <v>112672</v>
      </c>
      <c r="Z13" s="32">
        <f t="shared" si="5"/>
        <v>782444.44444444438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29166.666666666668</v>
      </c>
      <c r="G14" s="139"/>
      <c r="H14" s="66">
        <f>H9</f>
        <v>16</v>
      </c>
      <c r="I14" s="67">
        <f>I9</f>
        <v>16</v>
      </c>
      <c r="J14" s="67">
        <f t="shared" ref="J14:U14" si="9">J9</f>
        <v>16</v>
      </c>
      <c r="K14" s="67">
        <f t="shared" si="9"/>
        <v>16</v>
      </c>
      <c r="L14" s="67">
        <f t="shared" si="9"/>
        <v>16</v>
      </c>
      <c r="M14" s="67">
        <f t="shared" si="9"/>
        <v>16</v>
      </c>
      <c r="N14" s="67">
        <f t="shared" si="9"/>
        <v>16</v>
      </c>
      <c r="O14" s="67">
        <f t="shared" si="9"/>
        <v>16</v>
      </c>
      <c r="P14" s="67">
        <f t="shared" si="9"/>
        <v>16</v>
      </c>
      <c r="Q14" s="67">
        <f>Q9</f>
        <v>16</v>
      </c>
      <c r="R14" s="67">
        <f>R9</f>
        <v>16</v>
      </c>
      <c r="S14" s="67">
        <f t="shared" si="9"/>
        <v>16</v>
      </c>
      <c r="T14" s="67">
        <f t="shared" si="9"/>
        <v>16</v>
      </c>
      <c r="U14" s="67">
        <f t="shared" si="9"/>
        <v>16</v>
      </c>
      <c r="V14" s="68">
        <f t="shared" si="3"/>
        <v>224</v>
      </c>
      <c r="W14" s="125"/>
      <c r="X14" s="30" t="s">
        <v>23</v>
      </c>
      <c r="Y14" s="31">
        <f t="shared" si="4"/>
        <v>40768</v>
      </c>
      <c r="Z14" s="32">
        <f t="shared" si="5"/>
        <v>283111.11111111112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30秒</v>
      </c>
      <c r="F15" s="58">
        <f>150000/1008*V15*W7</f>
        <v>159374.99999999997</v>
      </c>
      <c r="G15" s="139"/>
      <c r="H15" s="59">
        <v>26</v>
      </c>
      <c r="I15" s="60">
        <f>H15</f>
        <v>26</v>
      </c>
      <c r="J15" s="60">
        <f t="shared" ref="J15:U15" si="10">I15</f>
        <v>26</v>
      </c>
      <c r="K15" s="60">
        <f t="shared" si="10"/>
        <v>26</v>
      </c>
      <c r="L15" s="60">
        <f t="shared" si="10"/>
        <v>26</v>
      </c>
      <c r="M15" s="60">
        <f t="shared" si="10"/>
        <v>26</v>
      </c>
      <c r="N15" s="60">
        <f t="shared" si="10"/>
        <v>26</v>
      </c>
      <c r="O15" s="60">
        <v>25</v>
      </c>
      <c r="P15" s="60">
        <f>O15</f>
        <v>25</v>
      </c>
      <c r="Q15" s="60">
        <f>P15</f>
        <v>25</v>
      </c>
      <c r="R15" s="60">
        <f>Q15</f>
        <v>25</v>
      </c>
      <c r="S15" s="60">
        <f>R15</f>
        <v>25</v>
      </c>
      <c r="T15" s="60">
        <f t="shared" si="10"/>
        <v>25</v>
      </c>
      <c r="U15" s="60">
        <f t="shared" si="10"/>
        <v>25</v>
      </c>
      <c r="V15" s="61">
        <f t="shared" si="3"/>
        <v>357</v>
      </c>
      <c r="W15" s="125">
        <f>120000/504*W7*V15</f>
        <v>255000.00000000003</v>
      </c>
      <c r="X15" s="30" t="s">
        <v>23</v>
      </c>
      <c r="Y15" s="31">
        <f t="shared" ref="Y15:Y20" si="11">V15*C15</f>
        <v>431613</v>
      </c>
      <c r="Z15" s="32">
        <f t="shared" ref="Z15:Z20" si="12">1000*(C15/24/6)*V15</f>
        <v>2997312.5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127500</v>
      </c>
      <c r="G16" s="139"/>
      <c r="H16" s="53">
        <f>H15</f>
        <v>26</v>
      </c>
      <c r="I16" s="54">
        <f>I15</f>
        <v>26</v>
      </c>
      <c r="J16" s="54">
        <f t="shared" ref="J16:U16" si="13">J15</f>
        <v>26</v>
      </c>
      <c r="K16" s="54">
        <f t="shared" si="13"/>
        <v>26</v>
      </c>
      <c r="L16" s="54">
        <f t="shared" si="13"/>
        <v>26</v>
      </c>
      <c r="M16" s="54">
        <f t="shared" si="13"/>
        <v>26</v>
      </c>
      <c r="N16" s="54">
        <f t="shared" si="13"/>
        <v>26</v>
      </c>
      <c r="O16" s="54">
        <f t="shared" si="13"/>
        <v>25</v>
      </c>
      <c r="P16" s="54">
        <f t="shared" si="13"/>
        <v>25</v>
      </c>
      <c r="Q16" s="54">
        <f>Q15</f>
        <v>25</v>
      </c>
      <c r="R16" s="54">
        <f>R15</f>
        <v>25</v>
      </c>
      <c r="S16" s="54">
        <f t="shared" si="13"/>
        <v>25</v>
      </c>
      <c r="T16" s="54">
        <f t="shared" si="13"/>
        <v>25</v>
      </c>
      <c r="U16" s="54">
        <f t="shared" si="13"/>
        <v>25</v>
      </c>
      <c r="V16" s="55">
        <f t="shared" si="3"/>
        <v>357</v>
      </c>
      <c r="W16" s="125"/>
      <c r="X16" s="30" t="s">
        <v>23</v>
      </c>
      <c r="Y16" s="31">
        <f t="shared" si="11"/>
        <v>235620</v>
      </c>
      <c r="Z16" s="32">
        <f t="shared" si="12"/>
        <v>1636250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95625.000000000015</v>
      </c>
      <c r="G17" s="139"/>
      <c r="H17" s="53">
        <f>H15</f>
        <v>26</v>
      </c>
      <c r="I17" s="54">
        <f>I15</f>
        <v>26</v>
      </c>
      <c r="J17" s="54">
        <f t="shared" ref="J17:U17" si="14">J15</f>
        <v>26</v>
      </c>
      <c r="K17" s="54">
        <f t="shared" si="14"/>
        <v>26</v>
      </c>
      <c r="L17" s="54">
        <f t="shared" si="14"/>
        <v>26</v>
      </c>
      <c r="M17" s="54">
        <f t="shared" si="14"/>
        <v>26</v>
      </c>
      <c r="N17" s="54">
        <f t="shared" si="14"/>
        <v>26</v>
      </c>
      <c r="O17" s="54">
        <f t="shared" si="14"/>
        <v>25</v>
      </c>
      <c r="P17" s="54">
        <f t="shared" si="14"/>
        <v>25</v>
      </c>
      <c r="Q17" s="54">
        <f>Q15</f>
        <v>25</v>
      </c>
      <c r="R17" s="54">
        <f>R15</f>
        <v>25</v>
      </c>
      <c r="S17" s="54">
        <f t="shared" si="14"/>
        <v>25</v>
      </c>
      <c r="T17" s="54">
        <f t="shared" si="14"/>
        <v>25</v>
      </c>
      <c r="U17" s="54">
        <f t="shared" si="14"/>
        <v>25</v>
      </c>
      <c r="V17" s="55">
        <f t="shared" si="3"/>
        <v>357</v>
      </c>
      <c r="W17" s="125"/>
      <c r="X17" s="30" t="s">
        <v>23</v>
      </c>
      <c r="Y17" s="31">
        <f t="shared" si="11"/>
        <v>206703</v>
      </c>
      <c r="Z17" s="32">
        <f t="shared" si="12"/>
        <v>1435437.5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79687.499999999985</v>
      </c>
      <c r="G18" s="139"/>
      <c r="H18" s="53">
        <f t="shared" ref="H18:U19" si="15">H15</f>
        <v>26</v>
      </c>
      <c r="I18" s="54">
        <f t="shared" si="15"/>
        <v>26</v>
      </c>
      <c r="J18" s="54">
        <f t="shared" si="15"/>
        <v>26</v>
      </c>
      <c r="K18" s="54">
        <f t="shared" si="15"/>
        <v>26</v>
      </c>
      <c r="L18" s="54">
        <f t="shared" si="15"/>
        <v>26</v>
      </c>
      <c r="M18" s="54">
        <f t="shared" si="15"/>
        <v>26</v>
      </c>
      <c r="N18" s="54">
        <f t="shared" si="15"/>
        <v>26</v>
      </c>
      <c r="O18" s="54">
        <f t="shared" si="15"/>
        <v>25</v>
      </c>
      <c r="P18" s="54">
        <f t="shared" si="15"/>
        <v>25</v>
      </c>
      <c r="Q18" s="54">
        <f>Q15</f>
        <v>25</v>
      </c>
      <c r="R18" s="54">
        <f>R15</f>
        <v>25</v>
      </c>
      <c r="S18" s="54">
        <f t="shared" si="15"/>
        <v>25</v>
      </c>
      <c r="T18" s="54">
        <f t="shared" si="15"/>
        <v>25</v>
      </c>
      <c r="U18" s="54">
        <f t="shared" si="15"/>
        <v>25</v>
      </c>
      <c r="V18" s="55">
        <f t="shared" si="3"/>
        <v>357</v>
      </c>
      <c r="W18" s="125"/>
      <c r="X18" s="30" t="s">
        <v>23</v>
      </c>
      <c r="Y18" s="31">
        <f t="shared" si="11"/>
        <v>135660</v>
      </c>
      <c r="Z18" s="32">
        <f t="shared" si="12"/>
        <v>942083.33333333326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79687.499999999985</v>
      </c>
      <c r="G19" s="139"/>
      <c r="H19" s="53">
        <f t="shared" si="15"/>
        <v>26</v>
      </c>
      <c r="I19" s="54">
        <f t="shared" si="15"/>
        <v>26</v>
      </c>
      <c r="J19" s="54">
        <f t="shared" si="15"/>
        <v>26</v>
      </c>
      <c r="K19" s="54">
        <f t="shared" si="15"/>
        <v>26</v>
      </c>
      <c r="L19" s="54">
        <f t="shared" si="15"/>
        <v>26</v>
      </c>
      <c r="M19" s="54">
        <f t="shared" si="15"/>
        <v>26</v>
      </c>
      <c r="N19" s="54">
        <f t="shared" si="15"/>
        <v>26</v>
      </c>
      <c r="O19" s="54">
        <f t="shared" si="15"/>
        <v>25</v>
      </c>
      <c r="P19" s="54">
        <f t="shared" si="15"/>
        <v>25</v>
      </c>
      <c r="Q19" s="54">
        <f>Q15</f>
        <v>25</v>
      </c>
      <c r="R19" s="54">
        <f>R15</f>
        <v>25</v>
      </c>
      <c r="S19" s="54">
        <f t="shared" si="15"/>
        <v>25</v>
      </c>
      <c r="T19" s="54">
        <f t="shared" si="15"/>
        <v>25</v>
      </c>
      <c r="U19" s="54">
        <f t="shared" si="15"/>
        <v>25</v>
      </c>
      <c r="V19" s="55">
        <f t="shared" si="3"/>
        <v>357</v>
      </c>
      <c r="W19" s="125"/>
      <c r="X19" s="30" t="s">
        <v>23</v>
      </c>
      <c r="Y19" s="31">
        <f t="shared" si="11"/>
        <v>152796</v>
      </c>
      <c r="Z19" s="32">
        <f t="shared" si="12"/>
        <v>1061083.3333333333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47812.500000000007</v>
      </c>
      <c r="G20" s="140"/>
      <c r="H20" s="66">
        <f>H15</f>
        <v>26</v>
      </c>
      <c r="I20" s="67">
        <f>I15</f>
        <v>26</v>
      </c>
      <c r="J20" s="67">
        <f t="shared" ref="J20:U20" si="16">J15</f>
        <v>26</v>
      </c>
      <c r="K20" s="67">
        <f t="shared" si="16"/>
        <v>26</v>
      </c>
      <c r="L20" s="67">
        <f t="shared" si="16"/>
        <v>26</v>
      </c>
      <c r="M20" s="67">
        <f t="shared" si="16"/>
        <v>26</v>
      </c>
      <c r="N20" s="67">
        <f t="shared" si="16"/>
        <v>26</v>
      </c>
      <c r="O20" s="67">
        <f t="shared" si="16"/>
        <v>25</v>
      </c>
      <c r="P20" s="67">
        <f t="shared" si="16"/>
        <v>25</v>
      </c>
      <c r="Q20" s="67">
        <f>Q15</f>
        <v>25</v>
      </c>
      <c r="R20" s="67">
        <f>R15</f>
        <v>25</v>
      </c>
      <c r="S20" s="67">
        <f t="shared" si="16"/>
        <v>25</v>
      </c>
      <c r="T20" s="67">
        <f t="shared" si="16"/>
        <v>25</v>
      </c>
      <c r="U20" s="67">
        <f t="shared" si="16"/>
        <v>25</v>
      </c>
      <c r="V20" s="68">
        <f t="shared" si="3"/>
        <v>357</v>
      </c>
      <c r="W20" s="125"/>
      <c r="X20" s="30" t="s">
        <v>23</v>
      </c>
      <c r="Y20" s="31">
        <f t="shared" si="11"/>
        <v>32844</v>
      </c>
      <c r="Z20" s="32">
        <f t="shared" si="12"/>
        <v>228083.33333333334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968854.16666666674</v>
      </c>
      <c r="G21" s="73">
        <f>SUM(G9:G17)</f>
        <v>400000</v>
      </c>
      <c r="H21" s="74">
        <f>SUM(H9:H20)</f>
        <v>252</v>
      </c>
      <c r="I21" s="74">
        <f>SUM(I9:I20)</f>
        <v>252</v>
      </c>
      <c r="J21" s="74">
        <f>SUM(J9:J20)</f>
        <v>252</v>
      </c>
      <c r="K21" s="74">
        <f>SUM(K9:K20)</f>
        <v>252</v>
      </c>
      <c r="L21" s="74">
        <f>SUM(L9:L20)</f>
        <v>252</v>
      </c>
      <c r="M21" s="74">
        <f>SUM(M9:M20)</f>
        <v>252</v>
      </c>
      <c r="N21" s="74">
        <f>SUM(N9:N20)</f>
        <v>252</v>
      </c>
      <c r="O21" s="74">
        <f>SUM(O9:O20)</f>
        <v>246</v>
      </c>
      <c r="P21" s="74">
        <f>SUM(P9:P20)</f>
        <v>246</v>
      </c>
      <c r="Q21" s="74">
        <f>SUM(Q9:Q20)</f>
        <v>246</v>
      </c>
      <c r="R21" s="74">
        <f>SUM(R9:R20)</f>
        <v>246</v>
      </c>
      <c r="S21" s="74">
        <f>SUM(S9:S20)</f>
        <v>246</v>
      </c>
      <c r="T21" s="74">
        <f>SUM(T9:T20)</f>
        <v>246</v>
      </c>
      <c r="U21" s="74">
        <f>SUM(U9:U20)</f>
        <v>246</v>
      </c>
      <c r="V21" s="75">
        <f>SUM(V7:V20)</f>
        <v>3486</v>
      </c>
      <c r="W21" s="126">
        <f>SUM(W9:W20)</f>
        <v>404333.33333333337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20000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420000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2202564</v>
      </c>
      <c r="Z24" s="21">
        <f>SUM(Z9:Z22)</f>
        <v>15295583.333333334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G9:G20"/>
    <mergeCell ref="A15:A20"/>
    <mergeCell ref="D15:D20"/>
    <mergeCell ref="E15:E20"/>
    <mergeCell ref="A9:A14"/>
    <mergeCell ref="D9:D14"/>
    <mergeCell ref="E9:E14"/>
    <mergeCell ref="A35:C35"/>
    <mergeCell ref="I35:N35"/>
    <mergeCell ref="A21:B21"/>
    <mergeCell ref="A33:C33"/>
    <mergeCell ref="I33:K33"/>
    <mergeCell ref="L33:O33"/>
    <mergeCell ref="A34:C34"/>
    <mergeCell ref="I34:N34"/>
  </mergeCells>
  <phoneticPr fontId="4" type="noConversion"/>
  <conditionalFormatting sqref="H8:U8">
    <cfRule type="containsText" dxfId="7" priority="1" operator="containsText" text="日">
      <formula>NOT(ISERROR(SEARCH("日",H8)))</formula>
    </cfRule>
    <cfRule type="containsText" dxfId="6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AF95-F904-47E9-80EA-9AFB901D4810}">
  <sheetPr>
    <tabColor rgb="FFFFFF00"/>
    <pageSetUpPr fitToPage="1"/>
  </sheetPr>
  <dimension ref="A1:AB36"/>
  <sheetViews>
    <sheetView showGridLines="0" view="pageBreakPreview" zoomScale="35" zoomScaleNormal="60" zoomScaleSheetLayoutView="35" zoomScalePageLayoutView="75" workbookViewId="0">
      <selection activeCell="H10" sqref="H10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41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0.85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2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20秒</v>
      </c>
      <c r="F9" s="58">
        <f>250000/480*V9*W6</f>
        <v>117760.41666666669</v>
      </c>
      <c r="G9" s="139">
        <v>400000</v>
      </c>
      <c r="H9" s="59">
        <v>19</v>
      </c>
      <c r="I9" s="60">
        <f>H9</f>
        <v>19</v>
      </c>
      <c r="J9" s="60">
        <f t="shared" ref="J9:U11" si="1">I9</f>
        <v>19</v>
      </c>
      <c r="K9" s="60">
        <f t="shared" si="1"/>
        <v>19</v>
      </c>
      <c r="L9" s="60">
        <f t="shared" si="1"/>
        <v>19</v>
      </c>
      <c r="M9" s="60">
        <f t="shared" si="1"/>
        <v>19</v>
      </c>
      <c r="N9" s="60">
        <f t="shared" si="1"/>
        <v>19</v>
      </c>
      <c r="O9" s="60">
        <f>N9</f>
        <v>19</v>
      </c>
      <c r="P9" s="60">
        <f t="shared" ref="P9:R15" si="2">O9</f>
        <v>19</v>
      </c>
      <c r="Q9" s="60">
        <f t="shared" si="2"/>
        <v>19</v>
      </c>
      <c r="R9" s="60">
        <f t="shared" si="2"/>
        <v>19</v>
      </c>
      <c r="S9" s="60">
        <f>R9</f>
        <v>19</v>
      </c>
      <c r="T9" s="60">
        <f t="shared" si="1"/>
        <v>19</v>
      </c>
      <c r="U9" s="60">
        <f t="shared" si="1"/>
        <v>19</v>
      </c>
      <c r="V9" s="61">
        <f t="shared" ref="V9:V20" si="3">SUM(H9:U9)</f>
        <v>266</v>
      </c>
      <c r="W9" s="125">
        <f>320000/480*W6*V9</f>
        <v>150733.33333333331</v>
      </c>
      <c r="X9" s="30" t="s">
        <v>23</v>
      </c>
      <c r="Y9" s="31">
        <f t="shared" ref="Y9:Y20" si="4">V9*C9</f>
        <v>445018</v>
      </c>
      <c r="Z9" s="32">
        <f t="shared" ref="Z9:Z20" si="5">1000*(C9/24/6)*V9</f>
        <v>3090402.7777777775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70656.25</v>
      </c>
      <c r="G10" s="139"/>
      <c r="H10" s="53">
        <f>H9</f>
        <v>19</v>
      </c>
      <c r="I10" s="54">
        <f>I9</f>
        <v>19</v>
      </c>
      <c r="J10" s="54">
        <f t="shared" ref="J10:U10" si="6">J9</f>
        <v>19</v>
      </c>
      <c r="K10" s="54">
        <f t="shared" si="6"/>
        <v>19</v>
      </c>
      <c r="L10" s="54">
        <f t="shared" si="6"/>
        <v>19</v>
      </c>
      <c r="M10" s="54">
        <f t="shared" si="6"/>
        <v>19</v>
      </c>
      <c r="N10" s="54">
        <f t="shared" si="6"/>
        <v>19</v>
      </c>
      <c r="O10" s="54">
        <f t="shared" si="6"/>
        <v>19</v>
      </c>
      <c r="P10" s="54">
        <f t="shared" si="6"/>
        <v>19</v>
      </c>
      <c r="Q10" s="54">
        <f>Q9</f>
        <v>19</v>
      </c>
      <c r="R10" s="54">
        <f>R9</f>
        <v>19</v>
      </c>
      <c r="S10" s="54">
        <f t="shared" si="6"/>
        <v>19</v>
      </c>
      <c r="T10" s="54">
        <f t="shared" si="6"/>
        <v>19</v>
      </c>
      <c r="U10" s="54">
        <f t="shared" si="6"/>
        <v>19</v>
      </c>
      <c r="V10" s="55">
        <f t="shared" si="3"/>
        <v>266</v>
      </c>
      <c r="W10" s="125"/>
      <c r="X10" s="30" t="s">
        <v>23</v>
      </c>
      <c r="Y10" s="31">
        <f t="shared" si="4"/>
        <v>209608</v>
      </c>
      <c r="Z10" s="32">
        <f t="shared" si="5"/>
        <v>1455611.1111111112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70656.25</v>
      </c>
      <c r="G11" s="139"/>
      <c r="H11" s="53">
        <f>H9</f>
        <v>19</v>
      </c>
      <c r="I11" s="54">
        <f>I9</f>
        <v>19</v>
      </c>
      <c r="J11" s="54">
        <f t="shared" ref="J11:U11" si="7">J9</f>
        <v>19</v>
      </c>
      <c r="K11" s="54">
        <f t="shared" si="7"/>
        <v>19</v>
      </c>
      <c r="L11" s="54">
        <f t="shared" si="7"/>
        <v>19</v>
      </c>
      <c r="M11" s="54">
        <f t="shared" si="7"/>
        <v>19</v>
      </c>
      <c r="N11" s="54">
        <f t="shared" si="7"/>
        <v>19</v>
      </c>
      <c r="O11" s="54">
        <f t="shared" si="7"/>
        <v>19</v>
      </c>
      <c r="P11" s="54">
        <f t="shared" si="7"/>
        <v>19</v>
      </c>
      <c r="Q11" s="54">
        <f>Q9</f>
        <v>19</v>
      </c>
      <c r="R11" s="54">
        <f>R9</f>
        <v>19</v>
      </c>
      <c r="S11" s="54">
        <f t="shared" si="7"/>
        <v>19</v>
      </c>
      <c r="T11" s="54">
        <f t="shared" si="7"/>
        <v>19</v>
      </c>
      <c r="U11" s="54">
        <f t="shared" si="7"/>
        <v>19</v>
      </c>
      <c r="V11" s="55">
        <f t="shared" si="3"/>
        <v>266</v>
      </c>
      <c r="W11" s="125"/>
      <c r="X11" s="30" t="s">
        <v>23</v>
      </c>
      <c r="Y11" s="31">
        <f t="shared" si="4"/>
        <v>226100</v>
      </c>
      <c r="Z11" s="32">
        <f t="shared" si="5"/>
        <v>1570138.8888888888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47104.166666666672</v>
      </c>
      <c r="G12" s="139"/>
      <c r="H12" s="53">
        <f t="shared" ref="H12:U13" si="8">H9</f>
        <v>19</v>
      </c>
      <c r="I12" s="54">
        <f t="shared" si="8"/>
        <v>19</v>
      </c>
      <c r="J12" s="54">
        <f t="shared" si="8"/>
        <v>19</v>
      </c>
      <c r="K12" s="54">
        <f t="shared" si="8"/>
        <v>19</v>
      </c>
      <c r="L12" s="54">
        <f t="shared" si="8"/>
        <v>19</v>
      </c>
      <c r="M12" s="54">
        <f t="shared" si="8"/>
        <v>19</v>
      </c>
      <c r="N12" s="54">
        <f t="shared" si="8"/>
        <v>19</v>
      </c>
      <c r="O12" s="54">
        <f t="shared" si="8"/>
        <v>19</v>
      </c>
      <c r="P12" s="54">
        <f t="shared" si="8"/>
        <v>19</v>
      </c>
      <c r="Q12" s="54">
        <f>Q9</f>
        <v>19</v>
      </c>
      <c r="R12" s="54">
        <f>R9</f>
        <v>19</v>
      </c>
      <c r="S12" s="54">
        <f t="shared" si="8"/>
        <v>19</v>
      </c>
      <c r="T12" s="54">
        <f t="shared" si="8"/>
        <v>19</v>
      </c>
      <c r="U12" s="54">
        <f t="shared" si="8"/>
        <v>19</v>
      </c>
      <c r="V12" s="55">
        <f t="shared" si="3"/>
        <v>266</v>
      </c>
      <c r="W12" s="125"/>
      <c r="X12" s="30" t="s">
        <v>23</v>
      </c>
      <c r="Y12" s="31">
        <f t="shared" si="4"/>
        <v>133266</v>
      </c>
      <c r="Z12" s="32">
        <f t="shared" si="5"/>
        <v>925458.33333333326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47104.166666666672</v>
      </c>
      <c r="G13" s="139"/>
      <c r="H13" s="53">
        <f t="shared" si="8"/>
        <v>19</v>
      </c>
      <c r="I13" s="54">
        <f t="shared" si="8"/>
        <v>19</v>
      </c>
      <c r="J13" s="54">
        <f t="shared" si="8"/>
        <v>19</v>
      </c>
      <c r="K13" s="54">
        <f t="shared" si="8"/>
        <v>19</v>
      </c>
      <c r="L13" s="54">
        <f t="shared" si="8"/>
        <v>19</v>
      </c>
      <c r="M13" s="54">
        <f t="shared" si="8"/>
        <v>19</v>
      </c>
      <c r="N13" s="54">
        <f t="shared" si="8"/>
        <v>19</v>
      </c>
      <c r="O13" s="54">
        <f t="shared" si="8"/>
        <v>19</v>
      </c>
      <c r="P13" s="54">
        <f t="shared" si="8"/>
        <v>19</v>
      </c>
      <c r="Q13" s="54">
        <f>Q9</f>
        <v>19</v>
      </c>
      <c r="R13" s="54">
        <f>R9</f>
        <v>19</v>
      </c>
      <c r="S13" s="54">
        <f t="shared" si="8"/>
        <v>19</v>
      </c>
      <c r="T13" s="54">
        <f t="shared" si="8"/>
        <v>19</v>
      </c>
      <c r="U13" s="54">
        <f t="shared" si="8"/>
        <v>19</v>
      </c>
      <c r="V13" s="55">
        <f t="shared" si="3"/>
        <v>266</v>
      </c>
      <c r="W13" s="125"/>
      <c r="X13" s="30" t="s">
        <v>23</v>
      </c>
      <c r="Y13" s="31">
        <f t="shared" si="4"/>
        <v>133798</v>
      </c>
      <c r="Z13" s="32">
        <f t="shared" si="5"/>
        <v>929152.77777777764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29440.104166666672</v>
      </c>
      <c r="G14" s="139"/>
      <c r="H14" s="66">
        <f>H9</f>
        <v>19</v>
      </c>
      <c r="I14" s="67">
        <f>I9</f>
        <v>19</v>
      </c>
      <c r="J14" s="67">
        <f t="shared" ref="J14:U14" si="9">J9</f>
        <v>19</v>
      </c>
      <c r="K14" s="67">
        <f t="shared" si="9"/>
        <v>19</v>
      </c>
      <c r="L14" s="67">
        <f t="shared" si="9"/>
        <v>19</v>
      </c>
      <c r="M14" s="67">
        <f t="shared" si="9"/>
        <v>19</v>
      </c>
      <c r="N14" s="67">
        <f t="shared" si="9"/>
        <v>19</v>
      </c>
      <c r="O14" s="67">
        <f t="shared" si="9"/>
        <v>19</v>
      </c>
      <c r="P14" s="67">
        <f t="shared" si="9"/>
        <v>19</v>
      </c>
      <c r="Q14" s="67">
        <f>Q9</f>
        <v>19</v>
      </c>
      <c r="R14" s="67">
        <f>R9</f>
        <v>19</v>
      </c>
      <c r="S14" s="67">
        <f t="shared" si="9"/>
        <v>19</v>
      </c>
      <c r="T14" s="67">
        <f t="shared" si="9"/>
        <v>19</v>
      </c>
      <c r="U14" s="67">
        <f t="shared" si="9"/>
        <v>19</v>
      </c>
      <c r="V14" s="68">
        <f t="shared" si="3"/>
        <v>266</v>
      </c>
      <c r="W14" s="125"/>
      <c r="X14" s="30" t="s">
        <v>23</v>
      </c>
      <c r="Y14" s="31">
        <f t="shared" si="4"/>
        <v>48412</v>
      </c>
      <c r="Z14" s="32">
        <f t="shared" si="5"/>
        <v>336194.44444444444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20秒</v>
      </c>
      <c r="F15" s="58">
        <f>150000/1008*V15*W7</f>
        <v>158333.33333333331</v>
      </c>
      <c r="G15" s="139"/>
      <c r="H15" s="59">
        <v>38</v>
      </c>
      <c r="I15" s="60">
        <f>H15</f>
        <v>38</v>
      </c>
      <c r="J15" s="60">
        <f t="shared" ref="J15:U15" si="10">I15</f>
        <v>38</v>
      </c>
      <c r="K15" s="60">
        <f t="shared" si="10"/>
        <v>38</v>
      </c>
      <c r="L15" s="60">
        <f t="shared" si="10"/>
        <v>38</v>
      </c>
      <c r="M15" s="60">
        <f t="shared" si="10"/>
        <v>38</v>
      </c>
      <c r="N15" s="60">
        <f t="shared" si="10"/>
        <v>38</v>
      </c>
      <c r="O15" s="60">
        <f>N15</f>
        <v>38</v>
      </c>
      <c r="P15" s="60">
        <f>O15</f>
        <v>38</v>
      </c>
      <c r="Q15" s="60">
        <f t="shared" si="2"/>
        <v>38</v>
      </c>
      <c r="R15" s="60">
        <f>Q15</f>
        <v>38</v>
      </c>
      <c r="S15" s="60">
        <f>R15</f>
        <v>38</v>
      </c>
      <c r="T15" s="60">
        <f t="shared" si="10"/>
        <v>38</v>
      </c>
      <c r="U15" s="60">
        <f t="shared" si="10"/>
        <v>38</v>
      </c>
      <c r="V15" s="61">
        <f t="shared" si="3"/>
        <v>532</v>
      </c>
      <c r="W15" s="125">
        <f>120000/504*W7*V15</f>
        <v>253333.33333333334</v>
      </c>
      <c r="X15" s="30" t="s">
        <v>23</v>
      </c>
      <c r="Y15" s="31">
        <f t="shared" si="4"/>
        <v>643188</v>
      </c>
      <c r="Z15" s="32">
        <f t="shared" si="5"/>
        <v>4466583.333333334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126666.66666666667</v>
      </c>
      <c r="G16" s="139"/>
      <c r="H16" s="53">
        <f>H15</f>
        <v>38</v>
      </c>
      <c r="I16" s="54">
        <f>I15</f>
        <v>38</v>
      </c>
      <c r="J16" s="54">
        <f t="shared" ref="J16:U16" si="11">J15</f>
        <v>38</v>
      </c>
      <c r="K16" s="54">
        <f t="shared" si="11"/>
        <v>38</v>
      </c>
      <c r="L16" s="54">
        <f t="shared" si="11"/>
        <v>38</v>
      </c>
      <c r="M16" s="54">
        <f t="shared" si="11"/>
        <v>38</v>
      </c>
      <c r="N16" s="54">
        <f t="shared" si="11"/>
        <v>38</v>
      </c>
      <c r="O16" s="54">
        <f t="shared" si="11"/>
        <v>38</v>
      </c>
      <c r="P16" s="54">
        <f t="shared" si="11"/>
        <v>38</v>
      </c>
      <c r="Q16" s="54">
        <f>Q15</f>
        <v>38</v>
      </c>
      <c r="R16" s="54">
        <f>R15</f>
        <v>38</v>
      </c>
      <c r="S16" s="54">
        <f t="shared" si="11"/>
        <v>38</v>
      </c>
      <c r="T16" s="54">
        <f t="shared" si="11"/>
        <v>38</v>
      </c>
      <c r="U16" s="54">
        <f t="shared" si="11"/>
        <v>38</v>
      </c>
      <c r="V16" s="55">
        <f t="shared" si="3"/>
        <v>532</v>
      </c>
      <c r="W16" s="125"/>
      <c r="X16" s="30" t="s">
        <v>23</v>
      </c>
      <c r="Y16" s="31">
        <f t="shared" si="4"/>
        <v>351120</v>
      </c>
      <c r="Z16" s="32">
        <f t="shared" si="5"/>
        <v>2438333.333333333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95000</v>
      </c>
      <c r="G17" s="139"/>
      <c r="H17" s="53">
        <f>H15</f>
        <v>38</v>
      </c>
      <c r="I17" s="54">
        <f>I15</f>
        <v>38</v>
      </c>
      <c r="J17" s="54">
        <f t="shared" ref="J17:U17" si="12">J15</f>
        <v>38</v>
      </c>
      <c r="K17" s="54">
        <f t="shared" si="12"/>
        <v>38</v>
      </c>
      <c r="L17" s="54">
        <f t="shared" si="12"/>
        <v>38</v>
      </c>
      <c r="M17" s="54">
        <f t="shared" si="12"/>
        <v>38</v>
      </c>
      <c r="N17" s="54">
        <f t="shared" si="12"/>
        <v>38</v>
      </c>
      <c r="O17" s="54">
        <f t="shared" si="12"/>
        <v>38</v>
      </c>
      <c r="P17" s="54">
        <f t="shared" si="12"/>
        <v>38</v>
      </c>
      <c r="Q17" s="54">
        <f>Q15</f>
        <v>38</v>
      </c>
      <c r="R17" s="54">
        <f>R15</f>
        <v>38</v>
      </c>
      <c r="S17" s="54">
        <f t="shared" si="12"/>
        <v>38</v>
      </c>
      <c r="T17" s="54">
        <f t="shared" si="12"/>
        <v>38</v>
      </c>
      <c r="U17" s="54">
        <f t="shared" si="12"/>
        <v>38</v>
      </c>
      <c r="V17" s="55">
        <f t="shared" si="3"/>
        <v>532</v>
      </c>
      <c r="W17" s="125"/>
      <c r="X17" s="30" t="s">
        <v>23</v>
      </c>
      <c r="Y17" s="31">
        <f t="shared" si="4"/>
        <v>308028</v>
      </c>
      <c r="Z17" s="32">
        <f t="shared" si="5"/>
        <v>2139083.333333333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79166.666666666657</v>
      </c>
      <c r="G18" s="139"/>
      <c r="H18" s="53">
        <f t="shared" ref="H18:U19" si="13">H15</f>
        <v>38</v>
      </c>
      <c r="I18" s="54">
        <f t="shared" si="13"/>
        <v>38</v>
      </c>
      <c r="J18" s="54">
        <f t="shared" si="13"/>
        <v>38</v>
      </c>
      <c r="K18" s="54">
        <f t="shared" si="13"/>
        <v>38</v>
      </c>
      <c r="L18" s="54">
        <f t="shared" si="13"/>
        <v>38</v>
      </c>
      <c r="M18" s="54">
        <f t="shared" si="13"/>
        <v>38</v>
      </c>
      <c r="N18" s="54">
        <f t="shared" si="13"/>
        <v>38</v>
      </c>
      <c r="O18" s="54">
        <f t="shared" si="13"/>
        <v>38</v>
      </c>
      <c r="P18" s="54">
        <f t="shared" si="13"/>
        <v>38</v>
      </c>
      <c r="Q18" s="54">
        <f>Q15</f>
        <v>38</v>
      </c>
      <c r="R18" s="54">
        <f>R15</f>
        <v>38</v>
      </c>
      <c r="S18" s="54">
        <f t="shared" si="13"/>
        <v>38</v>
      </c>
      <c r="T18" s="54">
        <f t="shared" si="13"/>
        <v>38</v>
      </c>
      <c r="U18" s="54">
        <f t="shared" si="13"/>
        <v>38</v>
      </c>
      <c r="V18" s="55">
        <f t="shared" si="3"/>
        <v>532</v>
      </c>
      <c r="W18" s="125"/>
      <c r="X18" s="30" t="s">
        <v>23</v>
      </c>
      <c r="Y18" s="31">
        <f t="shared" si="4"/>
        <v>202160</v>
      </c>
      <c r="Z18" s="32">
        <f t="shared" si="5"/>
        <v>1403888.8888888888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79166.666666666657</v>
      </c>
      <c r="G19" s="139"/>
      <c r="H19" s="53">
        <f t="shared" si="13"/>
        <v>38</v>
      </c>
      <c r="I19" s="54">
        <f t="shared" si="13"/>
        <v>38</v>
      </c>
      <c r="J19" s="54">
        <f t="shared" si="13"/>
        <v>38</v>
      </c>
      <c r="K19" s="54">
        <f t="shared" si="13"/>
        <v>38</v>
      </c>
      <c r="L19" s="54">
        <f t="shared" si="13"/>
        <v>38</v>
      </c>
      <c r="M19" s="54">
        <f t="shared" si="13"/>
        <v>38</v>
      </c>
      <c r="N19" s="54">
        <f t="shared" si="13"/>
        <v>38</v>
      </c>
      <c r="O19" s="54">
        <f t="shared" si="13"/>
        <v>38</v>
      </c>
      <c r="P19" s="54">
        <f t="shared" si="13"/>
        <v>38</v>
      </c>
      <c r="Q19" s="54">
        <f>Q15</f>
        <v>38</v>
      </c>
      <c r="R19" s="54">
        <f>R15</f>
        <v>38</v>
      </c>
      <c r="S19" s="54">
        <f t="shared" si="13"/>
        <v>38</v>
      </c>
      <c r="T19" s="54">
        <f t="shared" si="13"/>
        <v>38</v>
      </c>
      <c r="U19" s="54">
        <f t="shared" si="13"/>
        <v>38</v>
      </c>
      <c r="V19" s="55">
        <f t="shared" si="3"/>
        <v>532</v>
      </c>
      <c r="W19" s="125"/>
      <c r="X19" s="30" t="s">
        <v>23</v>
      </c>
      <c r="Y19" s="31">
        <f t="shared" si="4"/>
        <v>227696</v>
      </c>
      <c r="Z19" s="32">
        <f t="shared" si="5"/>
        <v>1581222.222222222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47500</v>
      </c>
      <c r="G20" s="140"/>
      <c r="H20" s="66">
        <f>H15</f>
        <v>38</v>
      </c>
      <c r="I20" s="67">
        <f>I15</f>
        <v>38</v>
      </c>
      <c r="J20" s="67">
        <f t="shared" ref="J20:U20" si="14">J15</f>
        <v>38</v>
      </c>
      <c r="K20" s="67">
        <f t="shared" si="14"/>
        <v>38</v>
      </c>
      <c r="L20" s="67">
        <f t="shared" si="14"/>
        <v>38</v>
      </c>
      <c r="M20" s="67">
        <f t="shared" si="14"/>
        <v>38</v>
      </c>
      <c r="N20" s="67">
        <f t="shared" si="14"/>
        <v>38</v>
      </c>
      <c r="O20" s="67">
        <f t="shared" si="14"/>
        <v>38</v>
      </c>
      <c r="P20" s="67">
        <f t="shared" si="14"/>
        <v>38</v>
      </c>
      <c r="Q20" s="67">
        <f>Q15</f>
        <v>38</v>
      </c>
      <c r="R20" s="67">
        <f>R15</f>
        <v>38</v>
      </c>
      <c r="S20" s="67">
        <f t="shared" si="14"/>
        <v>38</v>
      </c>
      <c r="T20" s="67">
        <f t="shared" si="14"/>
        <v>38</v>
      </c>
      <c r="U20" s="67">
        <f t="shared" si="14"/>
        <v>38</v>
      </c>
      <c r="V20" s="68">
        <f t="shared" si="3"/>
        <v>532</v>
      </c>
      <c r="W20" s="125"/>
      <c r="X20" s="30" t="s">
        <v>23</v>
      </c>
      <c r="Y20" s="31">
        <f t="shared" si="4"/>
        <v>48944</v>
      </c>
      <c r="Z20" s="32">
        <f t="shared" si="5"/>
        <v>339888.88888888888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968554.68749999988</v>
      </c>
      <c r="G21" s="73">
        <f>SUM(G9:G17)</f>
        <v>400000</v>
      </c>
      <c r="H21" s="74">
        <f>SUM(H9:H20)</f>
        <v>342</v>
      </c>
      <c r="I21" s="74">
        <f>SUM(I9:I20)</f>
        <v>342</v>
      </c>
      <c r="J21" s="74">
        <f>SUM(J9:J20)</f>
        <v>342</v>
      </c>
      <c r="K21" s="74">
        <f>SUM(K9:K20)</f>
        <v>342</v>
      </c>
      <c r="L21" s="74">
        <f>SUM(L9:L20)</f>
        <v>342</v>
      </c>
      <c r="M21" s="74">
        <f>SUM(M9:M20)</f>
        <v>342</v>
      </c>
      <c r="N21" s="74">
        <f>SUM(N9:N20)</f>
        <v>342</v>
      </c>
      <c r="O21" s="74">
        <f>SUM(O9:O20)</f>
        <v>342</v>
      </c>
      <c r="P21" s="74">
        <f>SUM(P9:P20)</f>
        <v>342</v>
      </c>
      <c r="Q21" s="74">
        <f>SUM(Q9:Q20)</f>
        <v>342</v>
      </c>
      <c r="R21" s="74">
        <f>SUM(R9:R20)</f>
        <v>342</v>
      </c>
      <c r="S21" s="74">
        <f>SUM(S9:S20)</f>
        <v>342</v>
      </c>
      <c r="T21" s="74">
        <f>SUM(T9:T20)</f>
        <v>342</v>
      </c>
      <c r="U21" s="74">
        <f>SUM(U9:U20)</f>
        <v>342</v>
      </c>
      <c r="V21" s="75">
        <f>SUM(V7:V20)</f>
        <v>4788</v>
      </c>
      <c r="W21" s="126">
        <f>SUM(W9:W20)</f>
        <v>404066.66666666663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20000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420000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2977338</v>
      </c>
      <c r="Z24" s="21">
        <f>SUM(Z9:Z22)</f>
        <v>20675958.333333328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35:C35"/>
    <mergeCell ref="I35:N35"/>
    <mergeCell ref="A21:B21"/>
    <mergeCell ref="A33:C33"/>
    <mergeCell ref="I33:K33"/>
    <mergeCell ref="L33:O33"/>
    <mergeCell ref="A34:C34"/>
    <mergeCell ref="I34:N34"/>
    <mergeCell ref="A9:A14"/>
    <mergeCell ref="D9:D14"/>
    <mergeCell ref="E9:E14"/>
    <mergeCell ref="G9:G20"/>
    <mergeCell ref="A15:A20"/>
    <mergeCell ref="D15:D20"/>
    <mergeCell ref="E15:E20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5" priority="1" operator="containsText" text="日">
      <formula>NOT(ISERROR(SEARCH("日",H8)))</formula>
    </cfRule>
    <cfRule type="containsText" dxfId="4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15A8-13FB-4B0F-988F-AFEE2FF62138}">
  <sheetPr>
    <tabColor rgb="FFFFFF00"/>
    <pageSetUpPr fitToPage="1"/>
  </sheetPr>
  <dimension ref="A1:AB36"/>
  <sheetViews>
    <sheetView showGridLines="0" view="pageBreakPreview" zoomScale="35" zoomScaleNormal="60" zoomScaleSheetLayoutView="35" zoomScalePageLayoutView="75" workbookViewId="0">
      <selection activeCell="K18" sqref="K18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51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0.65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1.5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15秒</v>
      </c>
      <c r="F9" s="58">
        <f>250000/480*V9*W6</f>
        <v>113750</v>
      </c>
      <c r="G9" s="139">
        <v>400000</v>
      </c>
      <c r="H9" s="59">
        <v>24</v>
      </c>
      <c r="I9" s="60">
        <f>H9</f>
        <v>24</v>
      </c>
      <c r="J9" s="60">
        <f t="shared" ref="J9:U11" si="1">I9</f>
        <v>24</v>
      </c>
      <c r="K9" s="60">
        <f t="shared" si="1"/>
        <v>24</v>
      </c>
      <c r="L9" s="60">
        <f t="shared" si="1"/>
        <v>24</v>
      </c>
      <c r="M9" s="60">
        <f t="shared" si="1"/>
        <v>24</v>
      </c>
      <c r="N9" s="60">
        <f t="shared" si="1"/>
        <v>24</v>
      </c>
      <c r="O9" s="60">
        <f>N9</f>
        <v>24</v>
      </c>
      <c r="P9" s="60">
        <f t="shared" ref="P9:R15" si="2">O9</f>
        <v>24</v>
      </c>
      <c r="Q9" s="60">
        <f t="shared" si="2"/>
        <v>24</v>
      </c>
      <c r="R9" s="60">
        <f t="shared" si="2"/>
        <v>24</v>
      </c>
      <c r="S9" s="60">
        <f>R9</f>
        <v>24</v>
      </c>
      <c r="T9" s="60">
        <f t="shared" si="1"/>
        <v>24</v>
      </c>
      <c r="U9" s="60">
        <f t="shared" si="1"/>
        <v>24</v>
      </c>
      <c r="V9" s="61">
        <f t="shared" ref="V9:V20" si="3">SUM(H9:U9)</f>
        <v>336</v>
      </c>
      <c r="W9" s="125">
        <f>320000/480*W6*V9</f>
        <v>145600</v>
      </c>
      <c r="X9" s="30" t="s">
        <v>23</v>
      </c>
      <c r="Y9" s="31">
        <f t="shared" ref="Y9:Y20" si="4">V9*C9</f>
        <v>562128</v>
      </c>
      <c r="Z9" s="32">
        <f t="shared" ref="Z9:Z20" si="5">1000*(C9/24/6)*V9</f>
        <v>3903666.6666666665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68250</v>
      </c>
      <c r="G10" s="139"/>
      <c r="H10" s="53">
        <f>H9</f>
        <v>24</v>
      </c>
      <c r="I10" s="54">
        <f>I9</f>
        <v>24</v>
      </c>
      <c r="J10" s="54">
        <f t="shared" ref="J10:U10" si="6">J9</f>
        <v>24</v>
      </c>
      <c r="K10" s="54">
        <f t="shared" si="6"/>
        <v>24</v>
      </c>
      <c r="L10" s="54">
        <f t="shared" si="6"/>
        <v>24</v>
      </c>
      <c r="M10" s="54">
        <f t="shared" si="6"/>
        <v>24</v>
      </c>
      <c r="N10" s="54">
        <f t="shared" si="6"/>
        <v>24</v>
      </c>
      <c r="O10" s="54">
        <f t="shared" si="6"/>
        <v>24</v>
      </c>
      <c r="P10" s="54">
        <f t="shared" si="6"/>
        <v>24</v>
      </c>
      <c r="Q10" s="54">
        <f>Q9</f>
        <v>24</v>
      </c>
      <c r="R10" s="54">
        <f>R9</f>
        <v>24</v>
      </c>
      <c r="S10" s="54">
        <f t="shared" si="6"/>
        <v>24</v>
      </c>
      <c r="T10" s="54">
        <f t="shared" si="6"/>
        <v>24</v>
      </c>
      <c r="U10" s="54">
        <f t="shared" si="6"/>
        <v>24</v>
      </c>
      <c r="V10" s="55">
        <f t="shared" si="3"/>
        <v>336</v>
      </c>
      <c r="W10" s="125"/>
      <c r="X10" s="30" t="s">
        <v>23</v>
      </c>
      <c r="Y10" s="31">
        <f t="shared" si="4"/>
        <v>264768</v>
      </c>
      <c r="Z10" s="32">
        <f t="shared" si="5"/>
        <v>1838666.6666666667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68250</v>
      </c>
      <c r="G11" s="139"/>
      <c r="H11" s="53">
        <f>H9</f>
        <v>24</v>
      </c>
      <c r="I11" s="54">
        <f>I9</f>
        <v>24</v>
      </c>
      <c r="J11" s="54">
        <f t="shared" ref="J11:U11" si="7">J9</f>
        <v>24</v>
      </c>
      <c r="K11" s="54">
        <f t="shared" si="7"/>
        <v>24</v>
      </c>
      <c r="L11" s="54">
        <f t="shared" si="7"/>
        <v>24</v>
      </c>
      <c r="M11" s="54">
        <f t="shared" si="7"/>
        <v>24</v>
      </c>
      <c r="N11" s="54">
        <f t="shared" si="7"/>
        <v>24</v>
      </c>
      <c r="O11" s="54">
        <f t="shared" si="7"/>
        <v>24</v>
      </c>
      <c r="P11" s="54">
        <f t="shared" si="7"/>
        <v>24</v>
      </c>
      <c r="Q11" s="54">
        <f>Q9</f>
        <v>24</v>
      </c>
      <c r="R11" s="54">
        <f>R9</f>
        <v>24</v>
      </c>
      <c r="S11" s="54">
        <f t="shared" si="7"/>
        <v>24</v>
      </c>
      <c r="T11" s="54">
        <f t="shared" si="7"/>
        <v>24</v>
      </c>
      <c r="U11" s="54">
        <f t="shared" si="7"/>
        <v>24</v>
      </c>
      <c r="V11" s="55">
        <f t="shared" si="3"/>
        <v>336</v>
      </c>
      <c r="W11" s="125"/>
      <c r="X11" s="30" t="s">
        <v>23</v>
      </c>
      <c r="Y11" s="31">
        <f t="shared" si="4"/>
        <v>285600</v>
      </c>
      <c r="Z11" s="32">
        <f t="shared" si="5"/>
        <v>1983333.3333333333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45500</v>
      </c>
      <c r="G12" s="139"/>
      <c r="H12" s="53">
        <f t="shared" ref="H12:U13" si="8">H9</f>
        <v>24</v>
      </c>
      <c r="I12" s="54">
        <f t="shared" si="8"/>
        <v>24</v>
      </c>
      <c r="J12" s="54">
        <f t="shared" si="8"/>
        <v>24</v>
      </c>
      <c r="K12" s="54">
        <f t="shared" si="8"/>
        <v>24</v>
      </c>
      <c r="L12" s="54">
        <f t="shared" si="8"/>
        <v>24</v>
      </c>
      <c r="M12" s="54">
        <f t="shared" si="8"/>
        <v>24</v>
      </c>
      <c r="N12" s="54">
        <f t="shared" si="8"/>
        <v>24</v>
      </c>
      <c r="O12" s="54">
        <f t="shared" si="8"/>
        <v>24</v>
      </c>
      <c r="P12" s="54">
        <f t="shared" si="8"/>
        <v>24</v>
      </c>
      <c r="Q12" s="54">
        <f>Q9</f>
        <v>24</v>
      </c>
      <c r="R12" s="54">
        <f>R9</f>
        <v>24</v>
      </c>
      <c r="S12" s="54">
        <f t="shared" si="8"/>
        <v>24</v>
      </c>
      <c r="T12" s="54">
        <f t="shared" si="8"/>
        <v>24</v>
      </c>
      <c r="U12" s="54">
        <f t="shared" si="8"/>
        <v>24</v>
      </c>
      <c r="V12" s="55">
        <f t="shared" si="3"/>
        <v>336</v>
      </c>
      <c r="W12" s="125"/>
      <c r="X12" s="30" t="s">
        <v>23</v>
      </c>
      <c r="Y12" s="31">
        <f t="shared" si="4"/>
        <v>168336</v>
      </c>
      <c r="Z12" s="32">
        <f t="shared" si="5"/>
        <v>1169000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45500</v>
      </c>
      <c r="G13" s="139"/>
      <c r="H13" s="53">
        <f t="shared" si="8"/>
        <v>24</v>
      </c>
      <c r="I13" s="54">
        <f t="shared" si="8"/>
        <v>24</v>
      </c>
      <c r="J13" s="54">
        <f t="shared" si="8"/>
        <v>24</v>
      </c>
      <c r="K13" s="54">
        <f t="shared" si="8"/>
        <v>24</v>
      </c>
      <c r="L13" s="54">
        <f t="shared" si="8"/>
        <v>24</v>
      </c>
      <c r="M13" s="54">
        <f t="shared" si="8"/>
        <v>24</v>
      </c>
      <c r="N13" s="54">
        <f t="shared" si="8"/>
        <v>24</v>
      </c>
      <c r="O13" s="54">
        <f t="shared" si="8"/>
        <v>24</v>
      </c>
      <c r="P13" s="54">
        <f t="shared" si="8"/>
        <v>24</v>
      </c>
      <c r="Q13" s="54">
        <f>Q9</f>
        <v>24</v>
      </c>
      <c r="R13" s="54">
        <f>R9</f>
        <v>24</v>
      </c>
      <c r="S13" s="54">
        <f t="shared" si="8"/>
        <v>24</v>
      </c>
      <c r="T13" s="54">
        <f t="shared" si="8"/>
        <v>24</v>
      </c>
      <c r="U13" s="54">
        <f t="shared" si="8"/>
        <v>24</v>
      </c>
      <c r="V13" s="55">
        <f t="shared" si="3"/>
        <v>336</v>
      </c>
      <c r="W13" s="125"/>
      <c r="X13" s="30" t="s">
        <v>23</v>
      </c>
      <c r="Y13" s="31">
        <f t="shared" si="4"/>
        <v>169008</v>
      </c>
      <c r="Z13" s="32">
        <f t="shared" si="5"/>
        <v>1173666.6666666665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28437.5</v>
      </c>
      <c r="G14" s="139"/>
      <c r="H14" s="66">
        <f>H9</f>
        <v>24</v>
      </c>
      <c r="I14" s="67">
        <f>I9</f>
        <v>24</v>
      </c>
      <c r="J14" s="67">
        <f t="shared" ref="J14:U14" si="9">J9</f>
        <v>24</v>
      </c>
      <c r="K14" s="67">
        <f t="shared" si="9"/>
        <v>24</v>
      </c>
      <c r="L14" s="67">
        <f t="shared" si="9"/>
        <v>24</v>
      </c>
      <c r="M14" s="67">
        <f t="shared" si="9"/>
        <v>24</v>
      </c>
      <c r="N14" s="67">
        <f t="shared" si="9"/>
        <v>24</v>
      </c>
      <c r="O14" s="67">
        <f t="shared" si="9"/>
        <v>24</v>
      </c>
      <c r="P14" s="67">
        <f t="shared" si="9"/>
        <v>24</v>
      </c>
      <c r="Q14" s="67">
        <f>Q9</f>
        <v>24</v>
      </c>
      <c r="R14" s="67">
        <f>R9</f>
        <v>24</v>
      </c>
      <c r="S14" s="67">
        <f t="shared" si="9"/>
        <v>24</v>
      </c>
      <c r="T14" s="67">
        <f t="shared" si="9"/>
        <v>24</v>
      </c>
      <c r="U14" s="67">
        <f t="shared" si="9"/>
        <v>24</v>
      </c>
      <c r="V14" s="68">
        <f t="shared" si="3"/>
        <v>336</v>
      </c>
      <c r="W14" s="125"/>
      <c r="X14" s="30" t="s">
        <v>23</v>
      </c>
      <c r="Y14" s="31">
        <f t="shared" si="4"/>
        <v>61152</v>
      </c>
      <c r="Z14" s="32">
        <f t="shared" si="5"/>
        <v>424666.66666666669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15秒</v>
      </c>
      <c r="F15" s="58">
        <f>150000/1008*V15*W7</f>
        <v>162500</v>
      </c>
      <c r="G15" s="139"/>
      <c r="H15" s="59">
        <v>52</v>
      </c>
      <c r="I15" s="60">
        <f>H15</f>
        <v>52</v>
      </c>
      <c r="J15" s="60">
        <f t="shared" ref="J15:U15" si="10">I15</f>
        <v>52</v>
      </c>
      <c r="K15" s="60">
        <f t="shared" si="10"/>
        <v>52</v>
      </c>
      <c r="L15" s="60">
        <f t="shared" si="10"/>
        <v>52</v>
      </c>
      <c r="M15" s="60">
        <f t="shared" si="10"/>
        <v>52</v>
      </c>
      <c r="N15" s="60">
        <f t="shared" si="10"/>
        <v>52</v>
      </c>
      <c r="O15" s="60">
        <f>N15</f>
        <v>52</v>
      </c>
      <c r="P15" s="60">
        <f>O15</f>
        <v>52</v>
      </c>
      <c r="Q15" s="60">
        <f t="shared" si="2"/>
        <v>52</v>
      </c>
      <c r="R15" s="60">
        <f>Q15</f>
        <v>52</v>
      </c>
      <c r="S15" s="60">
        <f>R15</f>
        <v>52</v>
      </c>
      <c r="T15" s="60">
        <f t="shared" si="10"/>
        <v>52</v>
      </c>
      <c r="U15" s="60">
        <f t="shared" si="10"/>
        <v>52</v>
      </c>
      <c r="V15" s="61">
        <f t="shared" si="3"/>
        <v>728</v>
      </c>
      <c r="W15" s="125">
        <f>120000/504*W7*V15</f>
        <v>260000.00000000003</v>
      </c>
      <c r="X15" s="30" t="s">
        <v>23</v>
      </c>
      <c r="Y15" s="31">
        <f t="shared" si="4"/>
        <v>880152</v>
      </c>
      <c r="Z15" s="32">
        <f t="shared" si="5"/>
        <v>6112166.666666667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130000</v>
      </c>
      <c r="G16" s="139"/>
      <c r="H16" s="53">
        <f>H15</f>
        <v>52</v>
      </c>
      <c r="I16" s="54">
        <f>I15</f>
        <v>52</v>
      </c>
      <c r="J16" s="54">
        <f t="shared" ref="J16:U16" si="11">J15</f>
        <v>52</v>
      </c>
      <c r="K16" s="54">
        <f t="shared" si="11"/>
        <v>52</v>
      </c>
      <c r="L16" s="54">
        <f t="shared" si="11"/>
        <v>52</v>
      </c>
      <c r="M16" s="54">
        <f t="shared" si="11"/>
        <v>52</v>
      </c>
      <c r="N16" s="54">
        <f t="shared" si="11"/>
        <v>52</v>
      </c>
      <c r="O16" s="54">
        <f t="shared" si="11"/>
        <v>52</v>
      </c>
      <c r="P16" s="54">
        <f t="shared" si="11"/>
        <v>52</v>
      </c>
      <c r="Q16" s="54">
        <f>Q15</f>
        <v>52</v>
      </c>
      <c r="R16" s="54">
        <f>R15</f>
        <v>52</v>
      </c>
      <c r="S16" s="54">
        <f t="shared" si="11"/>
        <v>52</v>
      </c>
      <c r="T16" s="54">
        <f t="shared" si="11"/>
        <v>52</v>
      </c>
      <c r="U16" s="54">
        <f t="shared" si="11"/>
        <v>52</v>
      </c>
      <c r="V16" s="55">
        <f t="shared" si="3"/>
        <v>728</v>
      </c>
      <c r="W16" s="125"/>
      <c r="X16" s="30" t="s">
        <v>23</v>
      </c>
      <c r="Y16" s="31">
        <f t="shared" si="4"/>
        <v>480480</v>
      </c>
      <c r="Z16" s="32">
        <f t="shared" si="5"/>
        <v>3336666.6666666665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97500.000000000015</v>
      </c>
      <c r="G17" s="139"/>
      <c r="H17" s="53">
        <f>H15</f>
        <v>52</v>
      </c>
      <c r="I17" s="54">
        <f>I15</f>
        <v>52</v>
      </c>
      <c r="J17" s="54">
        <f t="shared" ref="J17:U17" si="12">J15</f>
        <v>52</v>
      </c>
      <c r="K17" s="54">
        <f t="shared" si="12"/>
        <v>52</v>
      </c>
      <c r="L17" s="54">
        <f t="shared" si="12"/>
        <v>52</v>
      </c>
      <c r="M17" s="54">
        <f t="shared" si="12"/>
        <v>52</v>
      </c>
      <c r="N17" s="54">
        <f t="shared" si="12"/>
        <v>52</v>
      </c>
      <c r="O17" s="54">
        <f t="shared" si="12"/>
        <v>52</v>
      </c>
      <c r="P17" s="54">
        <f t="shared" si="12"/>
        <v>52</v>
      </c>
      <c r="Q17" s="54">
        <f>Q15</f>
        <v>52</v>
      </c>
      <c r="R17" s="54">
        <f>R15</f>
        <v>52</v>
      </c>
      <c r="S17" s="54">
        <f t="shared" si="12"/>
        <v>52</v>
      </c>
      <c r="T17" s="54">
        <f t="shared" si="12"/>
        <v>52</v>
      </c>
      <c r="U17" s="54">
        <f t="shared" si="12"/>
        <v>52</v>
      </c>
      <c r="V17" s="55">
        <f t="shared" si="3"/>
        <v>728</v>
      </c>
      <c r="W17" s="125"/>
      <c r="X17" s="30" t="s">
        <v>23</v>
      </c>
      <c r="Y17" s="31">
        <f t="shared" si="4"/>
        <v>421512</v>
      </c>
      <c r="Z17" s="32">
        <f t="shared" si="5"/>
        <v>2927166.6666666665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81250</v>
      </c>
      <c r="G18" s="139"/>
      <c r="H18" s="53">
        <f t="shared" ref="H18:U19" si="13">H15</f>
        <v>52</v>
      </c>
      <c r="I18" s="54">
        <f t="shared" si="13"/>
        <v>52</v>
      </c>
      <c r="J18" s="54">
        <f t="shared" si="13"/>
        <v>52</v>
      </c>
      <c r="K18" s="54">
        <f t="shared" si="13"/>
        <v>52</v>
      </c>
      <c r="L18" s="54">
        <f t="shared" si="13"/>
        <v>52</v>
      </c>
      <c r="M18" s="54">
        <f t="shared" si="13"/>
        <v>52</v>
      </c>
      <c r="N18" s="54">
        <f t="shared" si="13"/>
        <v>52</v>
      </c>
      <c r="O18" s="54">
        <f t="shared" si="13"/>
        <v>52</v>
      </c>
      <c r="P18" s="54">
        <f t="shared" si="13"/>
        <v>52</v>
      </c>
      <c r="Q18" s="54">
        <f>Q15</f>
        <v>52</v>
      </c>
      <c r="R18" s="54">
        <f>R15</f>
        <v>52</v>
      </c>
      <c r="S18" s="54">
        <f t="shared" si="13"/>
        <v>52</v>
      </c>
      <c r="T18" s="54">
        <f t="shared" si="13"/>
        <v>52</v>
      </c>
      <c r="U18" s="54">
        <f t="shared" si="13"/>
        <v>52</v>
      </c>
      <c r="V18" s="55">
        <f t="shared" si="3"/>
        <v>728</v>
      </c>
      <c r="W18" s="125"/>
      <c r="X18" s="30" t="s">
        <v>23</v>
      </c>
      <c r="Y18" s="31">
        <f t="shared" si="4"/>
        <v>276640</v>
      </c>
      <c r="Z18" s="32">
        <f t="shared" si="5"/>
        <v>1921111.111111111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81250</v>
      </c>
      <c r="G19" s="139"/>
      <c r="H19" s="53">
        <f t="shared" si="13"/>
        <v>52</v>
      </c>
      <c r="I19" s="54">
        <f t="shared" si="13"/>
        <v>52</v>
      </c>
      <c r="J19" s="54">
        <f t="shared" si="13"/>
        <v>52</v>
      </c>
      <c r="K19" s="54">
        <f t="shared" si="13"/>
        <v>52</v>
      </c>
      <c r="L19" s="54">
        <f t="shared" si="13"/>
        <v>52</v>
      </c>
      <c r="M19" s="54">
        <f t="shared" si="13"/>
        <v>52</v>
      </c>
      <c r="N19" s="54">
        <f t="shared" si="13"/>
        <v>52</v>
      </c>
      <c r="O19" s="54">
        <f t="shared" si="13"/>
        <v>52</v>
      </c>
      <c r="P19" s="54">
        <f t="shared" si="13"/>
        <v>52</v>
      </c>
      <c r="Q19" s="54">
        <f>Q15</f>
        <v>52</v>
      </c>
      <c r="R19" s="54">
        <f>R15</f>
        <v>52</v>
      </c>
      <c r="S19" s="54">
        <f t="shared" si="13"/>
        <v>52</v>
      </c>
      <c r="T19" s="54">
        <f t="shared" si="13"/>
        <v>52</v>
      </c>
      <c r="U19" s="54">
        <f t="shared" si="13"/>
        <v>52</v>
      </c>
      <c r="V19" s="55">
        <f t="shared" si="3"/>
        <v>728</v>
      </c>
      <c r="W19" s="125"/>
      <c r="X19" s="30" t="s">
        <v>23</v>
      </c>
      <c r="Y19" s="31">
        <f t="shared" si="4"/>
        <v>311584</v>
      </c>
      <c r="Z19" s="32">
        <f t="shared" si="5"/>
        <v>2163777.7777777775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48750.000000000007</v>
      </c>
      <c r="G20" s="140"/>
      <c r="H20" s="66">
        <f>H15</f>
        <v>52</v>
      </c>
      <c r="I20" s="67">
        <f>I15</f>
        <v>52</v>
      </c>
      <c r="J20" s="67">
        <f t="shared" ref="J20:U20" si="14">J15</f>
        <v>52</v>
      </c>
      <c r="K20" s="67">
        <f t="shared" si="14"/>
        <v>52</v>
      </c>
      <c r="L20" s="67">
        <f t="shared" si="14"/>
        <v>52</v>
      </c>
      <c r="M20" s="67">
        <f t="shared" si="14"/>
        <v>52</v>
      </c>
      <c r="N20" s="67">
        <f t="shared" si="14"/>
        <v>52</v>
      </c>
      <c r="O20" s="67">
        <f t="shared" si="14"/>
        <v>52</v>
      </c>
      <c r="P20" s="67">
        <f t="shared" si="14"/>
        <v>52</v>
      </c>
      <c r="Q20" s="67">
        <f>Q15</f>
        <v>52</v>
      </c>
      <c r="R20" s="67">
        <f>R15</f>
        <v>52</v>
      </c>
      <c r="S20" s="67">
        <f t="shared" si="14"/>
        <v>52</v>
      </c>
      <c r="T20" s="67">
        <f t="shared" si="14"/>
        <v>52</v>
      </c>
      <c r="U20" s="67">
        <f t="shared" si="14"/>
        <v>52</v>
      </c>
      <c r="V20" s="68">
        <f t="shared" si="3"/>
        <v>728</v>
      </c>
      <c r="W20" s="125"/>
      <c r="X20" s="30" t="s">
        <v>23</v>
      </c>
      <c r="Y20" s="31">
        <f t="shared" si="4"/>
        <v>66976</v>
      </c>
      <c r="Z20" s="32">
        <f t="shared" si="5"/>
        <v>465111.11111111112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970937.5</v>
      </c>
      <c r="G21" s="73">
        <f>SUM(G9:G17)</f>
        <v>400000</v>
      </c>
      <c r="H21" s="74">
        <f>SUM(H9:H20)</f>
        <v>456</v>
      </c>
      <c r="I21" s="74">
        <f>SUM(I9:I20)</f>
        <v>456</v>
      </c>
      <c r="J21" s="74">
        <f>SUM(J9:J20)</f>
        <v>456</v>
      </c>
      <c r="K21" s="74">
        <f>SUM(K9:K20)</f>
        <v>456</v>
      </c>
      <c r="L21" s="74">
        <f>SUM(L9:L20)</f>
        <v>456</v>
      </c>
      <c r="M21" s="74">
        <f>SUM(M9:M20)</f>
        <v>456</v>
      </c>
      <c r="N21" s="74">
        <f>SUM(N9:N20)</f>
        <v>456</v>
      </c>
      <c r="O21" s="74">
        <f>SUM(O9:O20)</f>
        <v>456</v>
      </c>
      <c r="P21" s="74">
        <f>SUM(P9:P20)</f>
        <v>456</v>
      </c>
      <c r="Q21" s="74">
        <f>SUM(Q9:Q20)</f>
        <v>456</v>
      </c>
      <c r="R21" s="74">
        <f>SUM(R9:R20)</f>
        <v>456</v>
      </c>
      <c r="S21" s="74">
        <f>SUM(S9:S20)</f>
        <v>456</v>
      </c>
      <c r="T21" s="74">
        <f>SUM(T9:T20)</f>
        <v>456</v>
      </c>
      <c r="U21" s="74">
        <f>SUM(U9:U20)</f>
        <v>456</v>
      </c>
      <c r="V21" s="75">
        <f>SUM(V7:V20)</f>
        <v>6384</v>
      </c>
      <c r="W21" s="126">
        <f>SUM(W9:W20)</f>
        <v>405600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20000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420000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3948336</v>
      </c>
      <c r="Z24" s="21">
        <f>SUM(Z9:Z22)</f>
        <v>27419000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35:C35"/>
    <mergeCell ref="I35:N35"/>
    <mergeCell ref="A21:B21"/>
    <mergeCell ref="A33:C33"/>
    <mergeCell ref="I33:K33"/>
    <mergeCell ref="L33:O33"/>
    <mergeCell ref="A34:C34"/>
    <mergeCell ref="I34:N34"/>
    <mergeCell ref="A9:A14"/>
    <mergeCell ref="D9:D14"/>
    <mergeCell ref="E9:E14"/>
    <mergeCell ref="G9:G20"/>
    <mergeCell ref="A15:A20"/>
    <mergeCell ref="D15:D20"/>
    <mergeCell ref="E15:E20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3" priority="1" operator="containsText" text="日">
      <formula>NOT(ISERROR(SEARCH("日",H8)))</formula>
    </cfRule>
    <cfRule type="containsText" dxfId="2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58E5-A3EB-48AE-89A5-8D99CA883F90}">
  <sheetPr>
    <tabColor rgb="FFFFFF00"/>
    <pageSetUpPr fitToPage="1"/>
  </sheetPr>
  <dimension ref="A1:AB36"/>
  <sheetViews>
    <sheetView showGridLines="0" view="pageBreakPreview" zoomScale="35" zoomScaleNormal="60" zoomScaleSheetLayoutView="35" zoomScalePageLayoutView="75" workbookViewId="0">
      <selection activeCell="AF20" sqref="AF20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50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0.5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1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10秒</v>
      </c>
      <c r="F9" s="58">
        <f>250000/480*V9*W6</f>
        <v>123958.33333333334</v>
      </c>
      <c r="G9" s="139">
        <v>400000</v>
      </c>
      <c r="H9" s="59">
        <v>34</v>
      </c>
      <c r="I9" s="60">
        <f>H9</f>
        <v>34</v>
      </c>
      <c r="J9" s="60">
        <f t="shared" ref="J9:U11" si="1">I9</f>
        <v>34</v>
      </c>
      <c r="K9" s="60">
        <f t="shared" si="1"/>
        <v>34</v>
      </c>
      <c r="L9" s="60">
        <f t="shared" si="1"/>
        <v>34</v>
      </c>
      <c r="M9" s="60">
        <f t="shared" si="1"/>
        <v>34</v>
      </c>
      <c r="N9" s="60">
        <f t="shared" si="1"/>
        <v>34</v>
      </c>
      <c r="O9" s="60">
        <f>N9</f>
        <v>34</v>
      </c>
      <c r="P9" s="60">
        <f t="shared" ref="P9:R15" si="2">O9</f>
        <v>34</v>
      </c>
      <c r="Q9" s="60">
        <f t="shared" si="2"/>
        <v>34</v>
      </c>
      <c r="R9" s="60">
        <f t="shared" si="2"/>
        <v>34</v>
      </c>
      <c r="S9" s="60">
        <f>R9</f>
        <v>34</v>
      </c>
      <c r="T9" s="60">
        <f t="shared" si="1"/>
        <v>34</v>
      </c>
      <c r="U9" s="60">
        <f t="shared" si="1"/>
        <v>34</v>
      </c>
      <c r="V9" s="61">
        <f t="shared" ref="V9:V20" si="3">SUM(H9:U9)</f>
        <v>476</v>
      </c>
      <c r="W9" s="125">
        <f>320000/480*W6*V9</f>
        <v>158666.66666666666</v>
      </c>
      <c r="X9" s="30" t="s">
        <v>23</v>
      </c>
      <c r="Y9" s="31">
        <f t="shared" ref="Y9:Y20" si="4">V9*C9</f>
        <v>796348</v>
      </c>
      <c r="Z9" s="32">
        <f t="shared" ref="Z9:Z20" si="5">1000*(C9/24/6)*V9</f>
        <v>5530194.444444444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74375</v>
      </c>
      <c r="G10" s="139"/>
      <c r="H10" s="53">
        <f>H9</f>
        <v>34</v>
      </c>
      <c r="I10" s="54">
        <f>I9</f>
        <v>34</v>
      </c>
      <c r="J10" s="54">
        <f t="shared" ref="J10:U10" si="6">J9</f>
        <v>34</v>
      </c>
      <c r="K10" s="54">
        <f t="shared" si="6"/>
        <v>34</v>
      </c>
      <c r="L10" s="54">
        <f t="shared" si="6"/>
        <v>34</v>
      </c>
      <c r="M10" s="54">
        <f t="shared" si="6"/>
        <v>34</v>
      </c>
      <c r="N10" s="54">
        <f t="shared" si="6"/>
        <v>34</v>
      </c>
      <c r="O10" s="54">
        <f t="shared" si="6"/>
        <v>34</v>
      </c>
      <c r="P10" s="54">
        <f t="shared" si="6"/>
        <v>34</v>
      </c>
      <c r="Q10" s="54">
        <f>Q9</f>
        <v>34</v>
      </c>
      <c r="R10" s="54">
        <f>R9</f>
        <v>34</v>
      </c>
      <c r="S10" s="54">
        <f t="shared" si="6"/>
        <v>34</v>
      </c>
      <c r="T10" s="54">
        <f t="shared" si="6"/>
        <v>34</v>
      </c>
      <c r="U10" s="54">
        <f t="shared" si="6"/>
        <v>34</v>
      </c>
      <c r="V10" s="55">
        <f t="shared" si="3"/>
        <v>476</v>
      </c>
      <c r="W10" s="125"/>
      <c r="X10" s="30" t="s">
        <v>23</v>
      </c>
      <c r="Y10" s="31">
        <f t="shared" si="4"/>
        <v>375088</v>
      </c>
      <c r="Z10" s="32">
        <f t="shared" si="5"/>
        <v>2604777.777777778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74375</v>
      </c>
      <c r="G11" s="139"/>
      <c r="H11" s="53">
        <f>H9</f>
        <v>34</v>
      </c>
      <c r="I11" s="54">
        <f>I9</f>
        <v>34</v>
      </c>
      <c r="J11" s="54">
        <f t="shared" ref="J11:U11" si="7">J9</f>
        <v>34</v>
      </c>
      <c r="K11" s="54">
        <f t="shared" si="7"/>
        <v>34</v>
      </c>
      <c r="L11" s="54">
        <f t="shared" si="7"/>
        <v>34</v>
      </c>
      <c r="M11" s="54">
        <f t="shared" si="7"/>
        <v>34</v>
      </c>
      <c r="N11" s="54">
        <f t="shared" si="7"/>
        <v>34</v>
      </c>
      <c r="O11" s="54">
        <f t="shared" si="7"/>
        <v>34</v>
      </c>
      <c r="P11" s="54">
        <f t="shared" si="7"/>
        <v>34</v>
      </c>
      <c r="Q11" s="54">
        <f>Q9</f>
        <v>34</v>
      </c>
      <c r="R11" s="54">
        <f>R9</f>
        <v>34</v>
      </c>
      <c r="S11" s="54">
        <f t="shared" si="7"/>
        <v>34</v>
      </c>
      <c r="T11" s="54">
        <f t="shared" si="7"/>
        <v>34</v>
      </c>
      <c r="U11" s="54">
        <f t="shared" si="7"/>
        <v>34</v>
      </c>
      <c r="V11" s="55">
        <f t="shared" si="3"/>
        <v>476</v>
      </c>
      <c r="W11" s="125"/>
      <c r="X11" s="30" t="s">
        <v>23</v>
      </c>
      <c r="Y11" s="31">
        <f t="shared" si="4"/>
        <v>404600</v>
      </c>
      <c r="Z11" s="32">
        <f t="shared" si="5"/>
        <v>2809722.222222222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49583.333333333336</v>
      </c>
      <c r="G12" s="139"/>
      <c r="H12" s="53">
        <f t="shared" ref="H12:U13" si="8">H9</f>
        <v>34</v>
      </c>
      <c r="I12" s="54">
        <f t="shared" si="8"/>
        <v>34</v>
      </c>
      <c r="J12" s="54">
        <f t="shared" si="8"/>
        <v>34</v>
      </c>
      <c r="K12" s="54">
        <f t="shared" si="8"/>
        <v>34</v>
      </c>
      <c r="L12" s="54">
        <f t="shared" si="8"/>
        <v>34</v>
      </c>
      <c r="M12" s="54">
        <f t="shared" si="8"/>
        <v>34</v>
      </c>
      <c r="N12" s="54">
        <f t="shared" si="8"/>
        <v>34</v>
      </c>
      <c r="O12" s="54">
        <f t="shared" si="8"/>
        <v>34</v>
      </c>
      <c r="P12" s="54">
        <f t="shared" si="8"/>
        <v>34</v>
      </c>
      <c r="Q12" s="54">
        <f>Q9</f>
        <v>34</v>
      </c>
      <c r="R12" s="54">
        <f>R9</f>
        <v>34</v>
      </c>
      <c r="S12" s="54">
        <f t="shared" si="8"/>
        <v>34</v>
      </c>
      <c r="T12" s="54">
        <f t="shared" si="8"/>
        <v>34</v>
      </c>
      <c r="U12" s="54">
        <f t="shared" si="8"/>
        <v>34</v>
      </c>
      <c r="V12" s="55">
        <f t="shared" si="3"/>
        <v>476</v>
      </c>
      <c r="W12" s="125"/>
      <c r="X12" s="30" t="s">
        <v>23</v>
      </c>
      <c r="Y12" s="31">
        <f t="shared" si="4"/>
        <v>238476</v>
      </c>
      <c r="Z12" s="32">
        <f t="shared" si="5"/>
        <v>1656083.3333333333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49583.333333333336</v>
      </c>
      <c r="G13" s="139"/>
      <c r="H13" s="53">
        <f t="shared" si="8"/>
        <v>34</v>
      </c>
      <c r="I13" s="54">
        <f t="shared" si="8"/>
        <v>34</v>
      </c>
      <c r="J13" s="54">
        <f t="shared" si="8"/>
        <v>34</v>
      </c>
      <c r="K13" s="54">
        <f t="shared" si="8"/>
        <v>34</v>
      </c>
      <c r="L13" s="54">
        <f t="shared" si="8"/>
        <v>34</v>
      </c>
      <c r="M13" s="54">
        <f t="shared" si="8"/>
        <v>34</v>
      </c>
      <c r="N13" s="54">
        <f t="shared" si="8"/>
        <v>34</v>
      </c>
      <c r="O13" s="54">
        <f t="shared" si="8"/>
        <v>34</v>
      </c>
      <c r="P13" s="54">
        <f t="shared" si="8"/>
        <v>34</v>
      </c>
      <c r="Q13" s="54">
        <f>Q9</f>
        <v>34</v>
      </c>
      <c r="R13" s="54">
        <f>R9</f>
        <v>34</v>
      </c>
      <c r="S13" s="54">
        <f t="shared" si="8"/>
        <v>34</v>
      </c>
      <c r="T13" s="54">
        <f t="shared" si="8"/>
        <v>34</v>
      </c>
      <c r="U13" s="54">
        <f t="shared" si="8"/>
        <v>34</v>
      </c>
      <c r="V13" s="55">
        <f t="shared" si="3"/>
        <v>476</v>
      </c>
      <c r="W13" s="125"/>
      <c r="X13" s="30" t="s">
        <v>23</v>
      </c>
      <c r="Y13" s="31">
        <f t="shared" si="4"/>
        <v>239428</v>
      </c>
      <c r="Z13" s="32">
        <f t="shared" si="5"/>
        <v>1662694.4444444443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30989.583333333336</v>
      </c>
      <c r="G14" s="139"/>
      <c r="H14" s="66">
        <f>H9</f>
        <v>34</v>
      </c>
      <c r="I14" s="67">
        <f>I9</f>
        <v>34</v>
      </c>
      <c r="J14" s="67">
        <f t="shared" ref="J14:U14" si="9">J9</f>
        <v>34</v>
      </c>
      <c r="K14" s="67">
        <f t="shared" si="9"/>
        <v>34</v>
      </c>
      <c r="L14" s="67">
        <f t="shared" si="9"/>
        <v>34</v>
      </c>
      <c r="M14" s="67">
        <f t="shared" si="9"/>
        <v>34</v>
      </c>
      <c r="N14" s="67">
        <f t="shared" si="9"/>
        <v>34</v>
      </c>
      <c r="O14" s="67">
        <f t="shared" si="9"/>
        <v>34</v>
      </c>
      <c r="P14" s="67">
        <f t="shared" si="9"/>
        <v>34</v>
      </c>
      <c r="Q14" s="67">
        <f>Q9</f>
        <v>34</v>
      </c>
      <c r="R14" s="67">
        <f>R9</f>
        <v>34</v>
      </c>
      <c r="S14" s="67">
        <f t="shared" si="9"/>
        <v>34</v>
      </c>
      <c r="T14" s="67">
        <f t="shared" si="9"/>
        <v>34</v>
      </c>
      <c r="U14" s="67">
        <f t="shared" si="9"/>
        <v>34</v>
      </c>
      <c r="V14" s="68">
        <f t="shared" si="3"/>
        <v>476</v>
      </c>
      <c r="W14" s="125"/>
      <c r="X14" s="30" t="s">
        <v>23</v>
      </c>
      <c r="Y14" s="31">
        <f t="shared" si="4"/>
        <v>86632</v>
      </c>
      <c r="Z14" s="32">
        <f t="shared" si="5"/>
        <v>601611.11111111112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10秒</v>
      </c>
      <c r="F15" s="58">
        <f>150000/1008*V15*W7</f>
        <v>154166.66666666666</v>
      </c>
      <c r="G15" s="139"/>
      <c r="H15" s="59">
        <v>74</v>
      </c>
      <c r="I15" s="60">
        <f>H15</f>
        <v>74</v>
      </c>
      <c r="J15" s="60">
        <f t="shared" ref="J15:U15" si="10">I15</f>
        <v>74</v>
      </c>
      <c r="K15" s="60">
        <f t="shared" si="10"/>
        <v>74</v>
      </c>
      <c r="L15" s="60">
        <f t="shared" si="10"/>
        <v>74</v>
      </c>
      <c r="M15" s="60">
        <f t="shared" si="10"/>
        <v>74</v>
      </c>
      <c r="N15" s="60">
        <f t="shared" si="10"/>
        <v>74</v>
      </c>
      <c r="O15" s="60">
        <f>N15</f>
        <v>74</v>
      </c>
      <c r="P15" s="60">
        <f>O15</f>
        <v>74</v>
      </c>
      <c r="Q15" s="60">
        <f t="shared" si="2"/>
        <v>74</v>
      </c>
      <c r="R15" s="60">
        <f>Q15</f>
        <v>74</v>
      </c>
      <c r="S15" s="60">
        <f>R15</f>
        <v>74</v>
      </c>
      <c r="T15" s="60">
        <f t="shared" si="10"/>
        <v>74</v>
      </c>
      <c r="U15" s="60">
        <f t="shared" si="10"/>
        <v>74</v>
      </c>
      <c r="V15" s="61">
        <f t="shared" si="3"/>
        <v>1036</v>
      </c>
      <c r="W15" s="125">
        <f>120000/504*W7*V15</f>
        <v>246666.66666666669</v>
      </c>
      <c r="X15" s="30" t="s">
        <v>23</v>
      </c>
      <c r="Y15" s="31">
        <f t="shared" si="4"/>
        <v>1252524</v>
      </c>
      <c r="Z15" s="32">
        <f t="shared" si="5"/>
        <v>8698083.333333334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123333.33333333334</v>
      </c>
      <c r="G16" s="139"/>
      <c r="H16" s="53">
        <f>H15</f>
        <v>74</v>
      </c>
      <c r="I16" s="54">
        <f>I15</f>
        <v>74</v>
      </c>
      <c r="J16" s="54">
        <f t="shared" ref="J16:U16" si="11">J15</f>
        <v>74</v>
      </c>
      <c r="K16" s="54">
        <f t="shared" si="11"/>
        <v>74</v>
      </c>
      <c r="L16" s="54">
        <f t="shared" si="11"/>
        <v>74</v>
      </c>
      <c r="M16" s="54">
        <f t="shared" si="11"/>
        <v>74</v>
      </c>
      <c r="N16" s="54">
        <f t="shared" si="11"/>
        <v>74</v>
      </c>
      <c r="O16" s="54">
        <f t="shared" si="11"/>
        <v>74</v>
      </c>
      <c r="P16" s="54">
        <f t="shared" si="11"/>
        <v>74</v>
      </c>
      <c r="Q16" s="54">
        <f>Q15</f>
        <v>74</v>
      </c>
      <c r="R16" s="54">
        <f>R15</f>
        <v>74</v>
      </c>
      <c r="S16" s="54">
        <f t="shared" si="11"/>
        <v>74</v>
      </c>
      <c r="T16" s="54">
        <f t="shared" si="11"/>
        <v>74</v>
      </c>
      <c r="U16" s="54">
        <f t="shared" si="11"/>
        <v>74</v>
      </c>
      <c r="V16" s="55">
        <f t="shared" si="3"/>
        <v>1036</v>
      </c>
      <c r="W16" s="125"/>
      <c r="X16" s="30" t="s">
        <v>23</v>
      </c>
      <c r="Y16" s="31">
        <f t="shared" si="4"/>
        <v>683760</v>
      </c>
      <c r="Z16" s="32">
        <f t="shared" si="5"/>
        <v>4748333.333333333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92500</v>
      </c>
      <c r="G17" s="139"/>
      <c r="H17" s="53">
        <f>H15</f>
        <v>74</v>
      </c>
      <c r="I17" s="54">
        <f>I15</f>
        <v>74</v>
      </c>
      <c r="J17" s="54">
        <f t="shared" ref="J17:U17" si="12">J15</f>
        <v>74</v>
      </c>
      <c r="K17" s="54">
        <f t="shared" si="12"/>
        <v>74</v>
      </c>
      <c r="L17" s="54">
        <f t="shared" si="12"/>
        <v>74</v>
      </c>
      <c r="M17" s="54">
        <f t="shared" si="12"/>
        <v>74</v>
      </c>
      <c r="N17" s="54">
        <f t="shared" si="12"/>
        <v>74</v>
      </c>
      <c r="O17" s="54">
        <f t="shared" si="12"/>
        <v>74</v>
      </c>
      <c r="P17" s="54">
        <f t="shared" si="12"/>
        <v>74</v>
      </c>
      <c r="Q17" s="54">
        <f>Q15</f>
        <v>74</v>
      </c>
      <c r="R17" s="54">
        <f>R15</f>
        <v>74</v>
      </c>
      <c r="S17" s="54">
        <f t="shared" si="12"/>
        <v>74</v>
      </c>
      <c r="T17" s="54">
        <f t="shared" si="12"/>
        <v>74</v>
      </c>
      <c r="U17" s="54">
        <f t="shared" si="12"/>
        <v>74</v>
      </c>
      <c r="V17" s="55">
        <f t="shared" si="3"/>
        <v>1036</v>
      </c>
      <c r="W17" s="125"/>
      <c r="X17" s="30" t="s">
        <v>23</v>
      </c>
      <c r="Y17" s="31">
        <f t="shared" si="4"/>
        <v>599844</v>
      </c>
      <c r="Z17" s="32">
        <f t="shared" si="5"/>
        <v>4165583.333333333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77083.333333333328</v>
      </c>
      <c r="G18" s="139"/>
      <c r="H18" s="53">
        <f t="shared" ref="H18:U19" si="13">H15</f>
        <v>74</v>
      </c>
      <c r="I18" s="54">
        <f t="shared" si="13"/>
        <v>74</v>
      </c>
      <c r="J18" s="54">
        <f t="shared" si="13"/>
        <v>74</v>
      </c>
      <c r="K18" s="54">
        <f t="shared" si="13"/>
        <v>74</v>
      </c>
      <c r="L18" s="54">
        <f t="shared" si="13"/>
        <v>74</v>
      </c>
      <c r="M18" s="54">
        <f t="shared" si="13"/>
        <v>74</v>
      </c>
      <c r="N18" s="54">
        <f t="shared" si="13"/>
        <v>74</v>
      </c>
      <c r="O18" s="54">
        <f t="shared" si="13"/>
        <v>74</v>
      </c>
      <c r="P18" s="54">
        <f t="shared" si="13"/>
        <v>74</v>
      </c>
      <c r="Q18" s="54">
        <f>Q15</f>
        <v>74</v>
      </c>
      <c r="R18" s="54">
        <f>R15</f>
        <v>74</v>
      </c>
      <c r="S18" s="54">
        <f t="shared" si="13"/>
        <v>74</v>
      </c>
      <c r="T18" s="54">
        <f t="shared" si="13"/>
        <v>74</v>
      </c>
      <c r="U18" s="54">
        <f t="shared" si="13"/>
        <v>74</v>
      </c>
      <c r="V18" s="55">
        <f t="shared" si="3"/>
        <v>1036</v>
      </c>
      <c r="W18" s="125"/>
      <c r="X18" s="30" t="s">
        <v>23</v>
      </c>
      <c r="Y18" s="31">
        <f t="shared" si="4"/>
        <v>393680</v>
      </c>
      <c r="Z18" s="32">
        <f t="shared" si="5"/>
        <v>2733888.8888888885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77083.333333333328</v>
      </c>
      <c r="G19" s="139"/>
      <c r="H19" s="53">
        <f t="shared" si="13"/>
        <v>74</v>
      </c>
      <c r="I19" s="54">
        <f t="shared" si="13"/>
        <v>74</v>
      </c>
      <c r="J19" s="54">
        <f t="shared" si="13"/>
        <v>74</v>
      </c>
      <c r="K19" s="54">
        <f t="shared" si="13"/>
        <v>74</v>
      </c>
      <c r="L19" s="54">
        <f t="shared" si="13"/>
        <v>74</v>
      </c>
      <c r="M19" s="54">
        <f t="shared" si="13"/>
        <v>74</v>
      </c>
      <c r="N19" s="54">
        <f t="shared" si="13"/>
        <v>74</v>
      </c>
      <c r="O19" s="54">
        <f t="shared" si="13"/>
        <v>74</v>
      </c>
      <c r="P19" s="54">
        <f t="shared" si="13"/>
        <v>74</v>
      </c>
      <c r="Q19" s="54">
        <f>Q15</f>
        <v>74</v>
      </c>
      <c r="R19" s="54">
        <f>R15</f>
        <v>74</v>
      </c>
      <c r="S19" s="54">
        <f t="shared" si="13"/>
        <v>74</v>
      </c>
      <c r="T19" s="54">
        <f t="shared" si="13"/>
        <v>74</v>
      </c>
      <c r="U19" s="54">
        <f t="shared" si="13"/>
        <v>74</v>
      </c>
      <c r="V19" s="55">
        <f t="shared" si="3"/>
        <v>1036</v>
      </c>
      <c r="W19" s="125"/>
      <c r="X19" s="30" t="s">
        <v>23</v>
      </c>
      <c r="Y19" s="31">
        <f t="shared" si="4"/>
        <v>443408</v>
      </c>
      <c r="Z19" s="32">
        <f t="shared" si="5"/>
        <v>3079222.2222222215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46250</v>
      </c>
      <c r="G20" s="140"/>
      <c r="H20" s="66">
        <f>H15</f>
        <v>74</v>
      </c>
      <c r="I20" s="67">
        <f>I15</f>
        <v>74</v>
      </c>
      <c r="J20" s="67">
        <f t="shared" ref="J20:U20" si="14">J15</f>
        <v>74</v>
      </c>
      <c r="K20" s="67">
        <f t="shared" si="14"/>
        <v>74</v>
      </c>
      <c r="L20" s="67">
        <f t="shared" si="14"/>
        <v>74</v>
      </c>
      <c r="M20" s="67">
        <f t="shared" si="14"/>
        <v>74</v>
      </c>
      <c r="N20" s="67">
        <f t="shared" si="14"/>
        <v>74</v>
      </c>
      <c r="O20" s="67">
        <f t="shared" si="14"/>
        <v>74</v>
      </c>
      <c r="P20" s="67">
        <f t="shared" si="14"/>
        <v>74</v>
      </c>
      <c r="Q20" s="67">
        <f>Q15</f>
        <v>74</v>
      </c>
      <c r="R20" s="67">
        <f>R15</f>
        <v>74</v>
      </c>
      <c r="S20" s="67">
        <f t="shared" si="14"/>
        <v>74</v>
      </c>
      <c r="T20" s="67">
        <f t="shared" si="14"/>
        <v>74</v>
      </c>
      <c r="U20" s="67">
        <f t="shared" si="14"/>
        <v>74</v>
      </c>
      <c r="V20" s="68">
        <f t="shared" si="3"/>
        <v>1036</v>
      </c>
      <c r="W20" s="125"/>
      <c r="X20" s="30" t="s">
        <v>23</v>
      </c>
      <c r="Y20" s="31">
        <f t="shared" si="4"/>
        <v>95312</v>
      </c>
      <c r="Z20" s="32">
        <f t="shared" si="5"/>
        <v>661888.88888888888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973281.25000000012</v>
      </c>
      <c r="G21" s="73">
        <f>SUM(G9:G17)</f>
        <v>400000</v>
      </c>
      <c r="H21" s="74">
        <f>SUM(H9:H20)</f>
        <v>648</v>
      </c>
      <c r="I21" s="74">
        <f>SUM(I9:I20)</f>
        <v>648</v>
      </c>
      <c r="J21" s="74">
        <f>SUM(J9:J20)</f>
        <v>648</v>
      </c>
      <c r="K21" s="74">
        <f>SUM(K9:K20)</f>
        <v>648</v>
      </c>
      <c r="L21" s="74">
        <f>SUM(L9:L20)</f>
        <v>648</v>
      </c>
      <c r="M21" s="74">
        <f>SUM(M9:M20)</f>
        <v>648</v>
      </c>
      <c r="N21" s="74">
        <f>SUM(N9:N20)</f>
        <v>648</v>
      </c>
      <c r="O21" s="74">
        <f>SUM(O9:O20)</f>
        <v>648</v>
      </c>
      <c r="P21" s="74">
        <f>SUM(P9:P20)</f>
        <v>648</v>
      </c>
      <c r="Q21" s="74">
        <f>SUM(Q9:Q20)</f>
        <v>648</v>
      </c>
      <c r="R21" s="74">
        <f>SUM(R9:R20)</f>
        <v>648</v>
      </c>
      <c r="S21" s="74">
        <f>SUM(S9:S20)</f>
        <v>648</v>
      </c>
      <c r="T21" s="74">
        <f>SUM(T9:T20)</f>
        <v>648</v>
      </c>
      <c r="U21" s="74">
        <f>SUM(U9:U20)</f>
        <v>648</v>
      </c>
      <c r="V21" s="75">
        <f>SUM(V7:V20)</f>
        <v>9072</v>
      </c>
      <c r="W21" s="126">
        <f>SUM(W9:W20)</f>
        <v>405333.33333333337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20000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420000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5609100</v>
      </c>
      <c r="Z24" s="21">
        <f>SUM(Z9:Z22)</f>
        <v>38952083.333333336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35:C35"/>
    <mergeCell ref="I35:N35"/>
    <mergeCell ref="A21:B21"/>
    <mergeCell ref="A33:C33"/>
    <mergeCell ref="I33:K33"/>
    <mergeCell ref="L33:O33"/>
    <mergeCell ref="A34:C34"/>
    <mergeCell ref="I34:N34"/>
    <mergeCell ref="A9:A14"/>
    <mergeCell ref="D9:D14"/>
    <mergeCell ref="E9:E14"/>
    <mergeCell ref="G9:G20"/>
    <mergeCell ref="A15:A20"/>
    <mergeCell ref="D15:D20"/>
    <mergeCell ref="E15:E20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1" priority="1" operator="containsText" text="日">
      <formula>NOT(ISERROR(SEARCH("日",H8)))</formula>
    </cfRule>
    <cfRule type="containsText" dxfId="0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8</vt:i4>
      </vt:variant>
    </vt:vector>
  </HeadingPairs>
  <TitlesOfParts>
    <vt:vector size="12" baseType="lpstr">
      <vt:lpstr>40萬版-30秒版</vt:lpstr>
      <vt:lpstr>40萬版-20秒版</vt:lpstr>
      <vt:lpstr>40萬版-15秒版</vt:lpstr>
      <vt:lpstr>40萬版-10秒版 </vt:lpstr>
      <vt:lpstr>'40萬版-10秒版 '!Print_Area</vt:lpstr>
      <vt:lpstr>'40萬版-15秒版'!Print_Area</vt:lpstr>
      <vt:lpstr>'40萬版-20秒版'!Print_Area</vt:lpstr>
      <vt:lpstr>'40萬版-30秒版'!Print_Area</vt:lpstr>
      <vt:lpstr>'40萬版-10秒版 '!Print_Titles</vt:lpstr>
      <vt:lpstr>'40萬版-15秒版'!Print_Titles</vt:lpstr>
      <vt:lpstr>'40萬版-20秒版'!Print_Titles</vt:lpstr>
      <vt:lpstr>'40萬版-30秒版'!Print_Titles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cp:lastPrinted>2025-12-29T08:22:54Z</cp:lastPrinted>
  <dcterms:created xsi:type="dcterms:W3CDTF">2025-09-26T08:25:35Z</dcterms:created>
  <dcterms:modified xsi:type="dcterms:W3CDTF">2026-09-02T04:11:14Z</dcterms:modified>
</cp:coreProperties>
</file>