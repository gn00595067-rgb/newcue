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983185E3-8968-4E43-8B03-72F003ED9D37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25萬版-30秒版" sheetId="6" r:id="rId1"/>
    <sheet name="25萬版-20秒版" sheetId="1" r:id="rId2"/>
    <sheet name="25萬版-15秒版" sheetId="5" r:id="rId3"/>
    <sheet name="25萬版-10秒版 " sheetId="4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'25萬版-10秒版 '!$A$8:$V$29</definedName>
    <definedName name="_xlnm._FilterDatabase" localSheetId="2" hidden="1">'25萬版-15秒版'!$A$8:$V$29</definedName>
    <definedName name="_xlnm._FilterDatabase" localSheetId="1" hidden="1">'25萬版-20秒版'!$A$8:$V$29</definedName>
    <definedName name="_xlnm._FilterDatabase" localSheetId="0" hidden="1">'25萬版-30秒版'!$A$8:$V$29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'25萬版-10秒版 '!$A$1:$V$31</definedName>
    <definedName name="_xlnm.Print_Area" localSheetId="2">'25萬版-15秒版'!$A$1:$V$31</definedName>
    <definedName name="_xlnm.Print_Area" localSheetId="1">'25萬版-20秒版'!$A$1:$V$31</definedName>
    <definedName name="_xlnm.Print_Area" localSheetId="0">'25萬版-30秒版'!$A$1:$V$31</definedName>
    <definedName name="_xlnm.Print_Titles" localSheetId="3">'25萬版-10秒版 '!$6:$8</definedName>
    <definedName name="_xlnm.Print_Titles" localSheetId="2">'25萬版-15秒版'!$6:$8</definedName>
    <definedName name="_xlnm.Print_Titles" localSheetId="1">'25萬版-20秒版'!$6:$8</definedName>
    <definedName name="_xlnm.Print_Titles" localSheetId="0">'25萬版-30秒版'!$6:$8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5" l="1"/>
  <c r="P10" i="5"/>
  <c r="P11" i="6"/>
  <c r="O11" i="6"/>
  <c r="S10" i="6"/>
  <c r="L10" i="6"/>
  <c r="S10" i="5" l="1"/>
  <c r="L29" i="6" l="1"/>
  <c r="G17" i="6"/>
  <c r="H16" i="6"/>
  <c r="H14" i="6"/>
  <c r="H13" i="6"/>
  <c r="H12" i="6"/>
  <c r="I11" i="6"/>
  <c r="J11" i="6" s="1"/>
  <c r="E11" i="6"/>
  <c r="I10" i="6"/>
  <c r="J10" i="6" s="1"/>
  <c r="K10" i="6" s="1"/>
  <c r="M10" i="6" s="1"/>
  <c r="N10" i="6" s="1"/>
  <c r="O10" i="6" s="1"/>
  <c r="P10" i="6" s="1"/>
  <c r="I9" i="6"/>
  <c r="J9" i="6" s="1"/>
  <c r="E9" i="6"/>
  <c r="I7" i="6"/>
  <c r="J7" i="6" s="1"/>
  <c r="K7" i="6" s="1"/>
  <c r="L7" i="6" s="1"/>
  <c r="M7" i="6" s="1"/>
  <c r="N7" i="6" s="1"/>
  <c r="O7" i="6" s="1"/>
  <c r="P7" i="6" s="1"/>
  <c r="L29" i="5"/>
  <c r="G17" i="5"/>
  <c r="H16" i="5"/>
  <c r="H14" i="5"/>
  <c r="H13" i="5"/>
  <c r="H12" i="5"/>
  <c r="H15" i="5" s="1"/>
  <c r="I11" i="5"/>
  <c r="J11" i="5" s="1"/>
  <c r="E11" i="5"/>
  <c r="I10" i="5"/>
  <c r="J10" i="5" s="1"/>
  <c r="I9" i="5"/>
  <c r="E9" i="5"/>
  <c r="I7" i="5"/>
  <c r="J7" i="5" s="1"/>
  <c r="K7" i="5" s="1"/>
  <c r="L7" i="5" s="1"/>
  <c r="M7" i="5" s="1"/>
  <c r="N7" i="5" s="1"/>
  <c r="O7" i="5" s="1"/>
  <c r="P7" i="5" s="1"/>
  <c r="E11" i="4"/>
  <c r="E9" i="4"/>
  <c r="L29" i="4"/>
  <c r="G17" i="4"/>
  <c r="G19" i="4" s="1"/>
  <c r="G20" i="4" s="1"/>
  <c r="H16" i="4"/>
  <c r="H14" i="4"/>
  <c r="H13" i="4"/>
  <c r="H12" i="4"/>
  <c r="H15" i="4" s="1"/>
  <c r="I11" i="4"/>
  <c r="I16" i="4" s="1"/>
  <c r="I10" i="4"/>
  <c r="I9" i="4"/>
  <c r="I7" i="4"/>
  <c r="J7" i="4" s="1"/>
  <c r="K7" i="4" s="1"/>
  <c r="L7" i="4" s="1"/>
  <c r="M7" i="4" s="1"/>
  <c r="N7" i="4" s="1"/>
  <c r="O7" i="4" s="1"/>
  <c r="P7" i="4" s="1"/>
  <c r="I10" i="1"/>
  <c r="H14" i="1"/>
  <c r="I16" i="5" l="1"/>
  <c r="J10" i="1"/>
  <c r="K10" i="1" s="1"/>
  <c r="L10" i="1" s="1"/>
  <c r="M10" i="1" s="1"/>
  <c r="N10" i="1" s="1"/>
  <c r="O10" i="1" s="1"/>
  <c r="I12" i="6"/>
  <c r="I15" i="6" s="1"/>
  <c r="I13" i="6"/>
  <c r="K9" i="6"/>
  <c r="Q10" i="6"/>
  <c r="T10" i="6"/>
  <c r="U10" i="6" s="1"/>
  <c r="J16" i="6"/>
  <c r="J13" i="6"/>
  <c r="J12" i="6"/>
  <c r="J15" i="6" s="1"/>
  <c r="J14" i="6"/>
  <c r="K11" i="6"/>
  <c r="I14" i="6"/>
  <c r="H15" i="6"/>
  <c r="H17" i="6" s="1"/>
  <c r="I16" i="6"/>
  <c r="G19" i="6"/>
  <c r="G20" i="6" s="1"/>
  <c r="I13" i="5"/>
  <c r="I14" i="5"/>
  <c r="K10" i="5"/>
  <c r="L10" i="5" s="1"/>
  <c r="M10" i="5" s="1"/>
  <c r="N10" i="5" s="1"/>
  <c r="O10" i="5" s="1"/>
  <c r="J12" i="5"/>
  <c r="J15" i="5" s="1"/>
  <c r="J14" i="5"/>
  <c r="K11" i="5"/>
  <c r="J16" i="5"/>
  <c r="J13" i="5"/>
  <c r="G19" i="5"/>
  <c r="G20" i="5" s="1"/>
  <c r="J9" i="5"/>
  <c r="H17" i="5"/>
  <c r="I12" i="5"/>
  <c r="H17" i="4"/>
  <c r="J9" i="4"/>
  <c r="J11" i="4"/>
  <c r="I12" i="4"/>
  <c r="J10" i="4"/>
  <c r="K10" i="4" s="1"/>
  <c r="L10" i="4" s="1"/>
  <c r="M10" i="4" s="1"/>
  <c r="N10" i="4" s="1"/>
  <c r="O10" i="4" s="1"/>
  <c r="P10" i="4" s="1"/>
  <c r="Q10" i="4" s="1"/>
  <c r="R10" i="4" s="1"/>
  <c r="I13" i="4"/>
  <c r="I14" i="4"/>
  <c r="L29" i="1"/>
  <c r="G17" i="1"/>
  <c r="G19" i="1" s="1"/>
  <c r="H16" i="1"/>
  <c r="H13" i="1"/>
  <c r="H12" i="1"/>
  <c r="H15" i="1" s="1"/>
  <c r="I11" i="1"/>
  <c r="I7" i="1"/>
  <c r="J7" i="1" s="1"/>
  <c r="K7" i="1" s="1"/>
  <c r="L7" i="1" s="1"/>
  <c r="M7" i="1" s="1"/>
  <c r="N7" i="1" s="1"/>
  <c r="O7" i="1" s="1"/>
  <c r="P7" i="1" s="1"/>
  <c r="S10" i="4" l="1"/>
  <c r="Q10" i="1"/>
  <c r="R10" i="1" s="1"/>
  <c r="S10" i="1"/>
  <c r="T10" i="1" s="1"/>
  <c r="U10" i="1" s="1"/>
  <c r="L9" i="6"/>
  <c r="K16" i="6"/>
  <c r="K14" i="6"/>
  <c r="K13" i="6"/>
  <c r="K12" i="6"/>
  <c r="L11" i="6"/>
  <c r="V10" i="6"/>
  <c r="I17" i="6"/>
  <c r="J17" i="6"/>
  <c r="J17" i="5"/>
  <c r="K9" i="5"/>
  <c r="K14" i="5"/>
  <c r="L11" i="5"/>
  <c r="K16" i="5"/>
  <c r="K13" i="5"/>
  <c r="K12" i="5"/>
  <c r="K15" i="5" s="1"/>
  <c r="I15" i="5"/>
  <c r="T10" i="5"/>
  <c r="U10" i="5" s="1"/>
  <c r="Q10" i="5"/>
  <c r="J16" i="4"/>
  <c r="J14" i="4"/>
  <c r="J13" i="4"/>
  <c r="J12" i="4"/>
  <c r="J15" i="4" s="1"/>
  <c r="K11" i="4"/>
  <c r="I15" i="4"/>
  <c r="K9" i="4"/>
  <c r="I13" i="1"/>
  <c r="I14" i="1"/>
  <c r="I9" i="1"/>
  <c r="J9" i="1" s="1"/>
  <c r="H17" i="1"/>
  <c r="J11" i="1"/>
  <c r="I12" i="1"/>
  <c r="I15" i="1" s="1"/>
  <c r="I16" i="1"/>
  <c r="G20" i="1"/>
  <c r="K15" i="6" l="1"/>
  <c r="L12" i="6"/>
  <c r="L15" i="6" s="1"/>
  <c r="L16" i="6"/>
  <c r="L14" i="6"/>
  <c r="L13" i="6"/>
  <c r="M11" i="6"/>
  <c r="Z10" i="6"/>
  <c r="Y10" i="6"/>
  <c r="M9" i="6"/>
  <c r="V10" i="5"/>
  <c r="M11" i="5"/>
  <c r="L13" i="5"/>
  <c r="L12" i="5"/>
  <c r="L16" i="5"/>
  <c r="L14" i="5"/>
  <c r="K17" i="5"/>
  <c r="L9" i="5"/>
  <c r="I17" i="5"/>
  <c r="J17" i="4"/>
  <c r="U10" i="4"/>
  <c r="L9" i="4"/>
  <c r="I17" i="4"/>
  <c r="K14" i="4"/>
  <c r="K13" i="4"/>
  <c r="K16" i="4"/>
  <c r="K12" i="4"/>
  <c r="K15" i="4" s="1"/>
  <c r="L11" i="4"/>
  <c r="J13" i="1"/>
  <c r="J14" i="1"/>
  <c r="J12" i="1"/>
  <c r="J15" i="1" s="1"/>
  <c r="J16" i="1"/>
  <c r="K11" i="1"/>
  <c r="N9" i="6" l="1"/>
  <c r="L17" i="6"/>
  <c r="K17" i="6"/>
  <c r="M16" i="6"/>
  <c r="M14" i="6"/>
  <c r="M13" i="6"/>
  <c r="M12" i="6"/>
  <c r="M15" i="6" s="1"/>
  <c r="N11" i="6"/>
  <c r="M13" i="5"/>
  <c r="M12" i="5"/>
  <c r="M15" i="5" s="1"/>
  <c r="M16" i="5"/>
  <c r="M14" i="5"/>
  <c r="N11" i="5"/>
  <c r="Z10" i="5"/>
  <c r="Y10" i="5"/>
  <c r="M9" i="5"/>
  <c r="L15" i="5"/>
  <c r="L14" i="4"/>
  <c r="L16" i="4"/>
  <c r="L13" i="4"/>
  <c r="L12" i="4"/>
  <c r="L15" i="4" s="1"/>
  <c r="M11" i="4"/>
  <c r="M9" i="4"/>
  <c r="K17" i="4"/>
  <c r="V10" i="4"/>
  <c r="L11" i="1"/>
  <c r="K14" i="1"/>
  <c r="I17" i="1"/>
  <c r="K9" i="1"/>
  <c r="K16" i="1"/>
  <c r="K13" i="1"/>
  <c r="K12" i="1"/>
  <c r="K15" i="1" s="1"/>
  <c r="N16" i="6" l="1"/>
  <c r="N14" i="6"/>
  <c r="N13" i="6"/>
  <c r="N12" i="6"/>
  <c r="M17" i="6"/>
  <c r="O9" i="6"/>
  <c r="L17" i="5"/>
  <c r="M17" i="5"/>
  <c r="N9" i="5"/>
  <c r="N12" i="5"/>
  <c r="O11" i="5"/>
  <c r="N16" i="5"/>
  <c r="N13" i="5"/>
  <c r="N14" i="5"/>
  <c r="L17" i="4"/>
  <c r="Y10" i="4"/>
  <c r="Z10" i="4"/>
  <c r="M12" i="4"/>
  <c r="M14" i="4"/>
  <c r="M13" i="4"/>
  <c r="N11" i="4"/>
  <c r="M16" i="4"/>
  <c r="N9" i="4"/>
  <c r="O9" i="4" s="1"/>
  <c r="P9" i="4" s="1"/>
  <c r="L14" i="1"/>
  <c r="L16" i="1"/>
  <c r="L13" i="1"/>
  <c r="M11" i="1"/>
  <c r="M14" i="1" s="1"/>
  <c r="L12" i="1"/>
  <c r="L15" i="1" s="1"/>
  <c r="J17" i="1"/>
  <c r="L9" i="1"/>
  <c r="N15" i="6" l="1"/>
  <c r="N17" i="6" s="1"/>
  <c r="P9" i="6"/>
  <c r="O16" i="6"/>
  <c r="O14" i="6"/>
  <c r="O13" i="6"/>
  <c r="O12" i="6"/>
  <c r="O15" i="6" s="1"/>
  <c r="N15" i="5"/>
  <c r="N17" i="5" s="1"/>
  <c r="O16" i="5"/>
  <c r="O12" i="5"/>
  <c r="O15" i="5" s="1"/>
  <c r="O14" i="5"/>
  <c r="O13" i="5"/>
  <c r="P11" i="5"/>
  <c r="O9" i="5"/>
  <c r="Q9" i="4"/>
  <c r="R9" i="4" s="1"/>
  <c r="S9" i="4"/>
  <c r="T9" i="4" s="1"/>
  <c r="U9" i="4" s="1"/>
  <c r="M15" i="4"/>
  <c r="M17" i="4" s="1"/>
  <c r="N16" i="4"/>
  <c r="N14" i="4"/>
  <c r="N12" i="4"/>
  <c r="N15" i="4" s="1"/>
  <c r="N13" i="4"/>
  <c r="M16" i="1"/>
  <c r="M13" i="1"/>
  <c r="M12" i="1"/>
  <c r="M15" i="1" s="1"/>
  <c r="N11" i="1"/>
  <c r="K17" i="1"/>
  <c r="M9" i="1"/>
  <c r="O14" i="1" l="1"/>
  <c r="P11" i="1"/>
  <c r="Q11" i="1" s="1"/>
  <c r="O17" i="6"/>
  <c r="Q9" i="6"/>
  <c r="S9" i="6"/>
  <c r="P14" i="6"/>
  <c r="P13" i="6"/>
  <c r="P12" i="6"/>
  <c r="P15" i="6" s="1"/>
  <c r="Q11" i="6"/>
  <c r="R11" i="6" s="1"/>
  <c r="P16" i="6"/>
  <c r="O17" i="5"/>
  <c r="P9" i="5"/>
  <c r="P13" i="5"/>
  <c r="Q11" i="5"/>
  <c r="P16" i="5"/>
  <c r="P14" i="5"/>
  <c r="P12" i="5"/>
  <c r="P15" i="5" s="1"/>
  <c r="N17" i="4"/>
  <c r="V9" i="4"/>
  <c r="W9" i="4" s="1"/>
  <c r="O16" i="4"/>
  <c r="O12" i="4"/>
  <c r="O15" i="4" s="1"/>
  <c r="O13" i="4"/>
  <c r="P11" i="4"/>
  <c r="O14" i="4"/>
  <c r="N13" i="1"/>
  <c r="N16" i="1"/>
  <c r="N9" i="1"/>
  <c r="O9" i="1" s="1"/>
  <c r="P9" i="1" s="1"/>
  <c r="N14" i="1"/>
  <c r="N12" i="1"/>
  <c r="N15" i="1" s="1"/>
  <c r="L17" i="1"/>
  <c r="O16" i="1"/>
  <c r="O13" i="1"/>
  <c r="O12" i="1"/>
  <c r="O15" i="1" s="1"/>
  <c r="Z9" i="4" l="1"/>
  <c r="Z20" i="4" s="1"/>
  <c r="R11" i="1"/>
  <c r="Q14" i="1"/>
  <c r="Q12" i="1"/>
  <c r="Q13" i="1"/>
  <c r="Q16" i="1"/>
  <c r="Q15" i="1"/>
  <c r="P14" i="1"/>
  <c r="Q15" i="6"/>
  <c r="Q14" i="6"/>
  <c r="Q13" i="6"/>
  <c r="Q12" i="6"/>
  <c r="Q16" i="6"/>
  <c r="P17" i="6"/>
  <c r="T9" i="6"/>
  <c r="R9" i="6"/>
  <c r="Q15" i="5"/>
  <c r="Q14" i="5"/>
  <c r="Q16" i="5"/>
  <c r="Q13" i="5"/>
  <c r="Q12" i="5"/>
  <c r="R11" i="5"/>
  <c r="P17" i="5"/>
  <c r="S9" i="5"/>
  <c r="Q9" i="5"/>
  <c r="O17" i="4"/>
  <c r="F9" i="4"/>
  <c r="Y9" i="4"/>
  <c r="Y20" i="4" s="1"/>
  <c r="P13" i="4"/>
  <c r="P12" i="4"/>
  <c r="P15" i="4" s="1"/>
  <c r="Q11" i="4"/>
  <c r="P14" i="4"/>
  <c r="P16" i="4"/>
  <c r="N17" i="1"/>
  <c r="M17" i="1"/>
  <c r="O17" i="1"/>
  <c r="Q9" i="1"/>
  <c r="P16" i="1"/>
  <c r="P13" i="1"/>
  <c r="P12" i="1"/>
  <c r="P15" i="1" s="1"/>
  <c r="P17" i="4" l="1"/>
  <c r="R15" i="1"/>
  <c r="S11" i="1"/>
  <c r="S14" i="1" s="1"/>
  <c r="R14" i="1"/>
  <c r="R12" i="1"/>
  <c r="R16" i="1"/>
  <c r="R13" i="1"/>
  <c r="Q17" i="6"/>
  <c r="U9" i="6"/>
  <c r="R14" i="6"/>
  <c r="R13" i="6"/>
  <c r="R12" i="6"/>
  <c r="S11" i="6"/>
  <c r="R16" i="6"/>
  <c r="R15" i="6"/>
  <c r="Q17" i="5"/>
  <c r="R9" i="5"/>
  <c r="T9" i="5"/>
  <c r="R16" i="5"/>
  <c r="R14" i="5"/>
  <c r="S11" i="5"/>
  <c r="R15" i="5"/>
  <c r="R13" i="5"/>
  <c r="R12" i="5"/>
  <c r="Q12" i="4"/>
  <c r="R11" i="4"/>
  <c r="Q13" i="4"/>
  <c r="Q15" i="4"/>
  <c r="Q16" i="4"/>
  <c r="Q14" i="4"/>
  <c r="R9" i="1"/>
  <c r="Q17" i="1"/>
  <c r="S9" i="1"/>
  <c r="S16" i="1"/>
  <c r="T11" i="1" l="1"/>
  <c r="T14" i="1" s="1"/>
  <c r="S12" i="1"/>
  <c r="S15" i="1" s="1"/>
  <c r="Q17" i="4"/>
  <c r="S13" i="1"/>
  <c r="R17" i="1"/>
  <c r="R17" i="6"/>
  <c r="S14" i="6"/>
  <c r="S13" i="6"/>
  <c r="S12" i="6"/>
  <c r="S15" i="6" s="1"/>
  <c r="T11" i="6"/>
  <c r="S16" i="6"/>
  <c r="V9" i="6"/>
  <c r="U9" i="5"/>
  <c r="R17" i="5"/>
  <c r="V9" i="5"/>
  <c r="W9" i="5" s="1"/>
  <c r="S14" i="5"/>
  <c r="S13" i="5"/>
  <c r="S16" i="5"/>
  <c r="S12" i="5"/>
  <c r="S15" i="5" s="1"/>
  <c r="T11" i="5"/>
  <c r="R14" i="4"/>
  <c r="R12" i="4"/>
  <c r="S11" i="4"/>
  <c r="R16" i="4"/>
  <c r="R13" i="4"/>
  <c r="R15" i="4"/>
  <c r="T9" i="1"/>
  <c r="P17" i="1"/>
  <c r="T13" i="1"/>
  <c r="T12" i="1"/>
  <c r="T15" i="1" s="1"/>
  <c r="U11" i="1"/>
  <c r="T16" i="1"/>
  <c r="R17" i="4" l="1"/>
  <c r="S17" i="6"/>
  <c r="Z9" i="6"/>
  <c r="Z20" i="6" s="1"/>
  <c r="Y9" i="6"/>
  <c r="Y20" i="6" s="1"/>
  <c r="F9" i="6"/>
  <c r="W9" i="6"/>
  <c r="T13" i="6"/>
  <c r="T12" i="6"/>
  <c r="T15" i="6" s="1"/>
  <c r="U11" i="6"/>
  <c r="T16" i="6"/>
  <c r="T14" i="6"/>
  <c r="T13" i="5"/>
  <c r="U11" i="5"/>
  <c r="T14" i="5"/>
  <c r="T12" i="5"/>
  <c r="T15" i="5" s="1"/>
  <c r="T16" i="5"/>
  <c r="Y9" i="5"/>
  <c r="Y20" i="5" s="1"/>
  <c r="Z9" i="5"/>
  <c r="Z20" i="5" s="1"/>
  <c r="F9" i="5"/>
  <c r="S17" i="5"/>
  <c r="S13" i="4"/>
  <c r="S12" i="4"/>
  <c r="S15" i="4" s="1"/>
  <c r="T11" i="4"/>
  <c r="S16" i="4"/>
  <c r="S14" i="4"/>
  <c r="U14" i="1"/>
  <c r="V14" i="1" s="1"/>
  <c r="F14" i="1" s="1"/>
  <c r="V11" i="1"/>
  <c r="S17" i="1"/>
  <c r="U9" i="1"/>
  <c r="V9" i="1" s="1"/>
  <c r="F9" i="1" s="1"/>
  <c r="U12" i="1"/>
  <c r="U15" i="1" s="1"/>
  <c r="V15" i="1" s="1"/>
  <c r="F15" i="1" s="1"/>
  <c r="U16" i="1"/>
  <c r="U13" i="1"/>
  <c r="T17" i="5" l="1"/>
  <c r="W11" i="1"/>
  <c r="F12" i="1"/>
  <c r="F11" i="1"/>
  <c r="T17" i="6"/>
  <c r="U13" i="6"/>
  <c r="V13" i="6" s="1"/>
  <c r="F13" i="6" s="1"/>
  <c r="U12" i="6"/>
  <c r="U16" i="6"/>
  <c r="V16" i="6" s="1"/>
  <c r="F16" i="6" s="1"/>
  <c r="U14" i="6"/>
  <c r="V14" i="6" s="1"/>
  <c r="F14" i="6" s="1"/>
  <c r="V11" i="6"/>
  <c r="W11" i="6" s="1"/>
  <c r="U16" i="5"/>
  <c r="V16" i="5" s="1"/>
  <c r="F16" i="5" s="1"/>
  <c r="U13" i="5"/>
  <c r="V13" i="5" s="1"/>
  <c r="F13" i="5" s="1"/>
  <c r="U12" i="5"/>
  <c r="U14" i="5"/>
  <c r="V14" i="5" s="1"/>
  <c r="F14" i="5" s="1"/>
  <c r="V11" i="5"/>
  <c r="S17" i="4"/>
  <c r="T13" i="4"/>
  <c r="T12" i="4"/>
  <c r="T15" i="4" s="1"/>
  <c r="U11" i="4"/>
  <c r="T16" i="4"/>
  <c r="T14" i="4"/>
  <c r="Y14" i="1"/>
  <c r="Z14" i="1"/>
  <c r="W9" i="1"/>
  <c r="Z15" i="1"/>
  <c r="Y15" i="1"/>
  <c r="U17" i="1"/>
  <c r="T17" i="1"/>
  <c r="W11" i="5" l="1"/>
  <c r="W17" i="5" s="1"/>
  <c r="F11" i="5"/>
  <c r="F12" i="5"/>
  <c r="W17" i="1"/>
  <c r="W17" i="6"/>
  <c r="F12" i="6"/>
  <c r="F11" i="6"/>
  <c r="Z14" i="6"/>
  <c r="Y14" i="6"/>
  <c r="Z13" i="6"/>
  <c r="Y13" i="6"/>
  <c r="Z16" i="6"/>
  <c r="Y16" i="6"/>
  <c r="Z11" i="6"/>
  <c r="Y11" i="6"/>
  <c r="U15" i="6"/>
  <c r="V15" i="6" s="1"/>
  <c r="F15" i="6" s="1"/>
  <c r="V12" i="6"/>
  <c r="Z11" i="5"/>
  <c r="Y11" i="5"/>
  <c r="Z13" i="5"/>
  <c r="Y13" i="5"/>
  <c r="Z14" i="5"/>
  <c r="Y14" i="5"/>
  <c r="U15" i="5"/>
  <c r="V12" i="5"/>
  <c r="Z16" i="5"/>
  <c r="Y16" i="5"/>
  <c r="T17" i="4"/>
  <c r="U12" i="4"/>
  <c r="U16" i="4"/>
  <c r="V16" i="4" s="1"/>
  <c r="F16" i="4" s="1"/>
  <c r="U14" i="4"/>
  <c r="V14" i="4" s="1"/>
  <c r="F14" i="4" s="1"/>
  <c r="U13" i="4"/>
  <c r="V13" i="4" s="1"/>
  <c r="F13" i="4" s="1"/>
  <c r="V11" i="4"/>
  <c r="W11" i="4" s="1"/>
  <c r="V16" i="1"/>
  <c r="F16" i="1" s="1"/>
  <c r="V12" i="1"/>
  <c r="V13" i="1"/>
  <c r="F13" i="1" s="1"/>
  <c r="V17" i="6" l="1"/>
  <c r="F12" i="4"/>
  <c r="F11" i="4"/>
  <c r="Z15" i="6"/>
  <c r="Y15" i="6"/>
  <c r="U17" i="6"/>
  <c r="Y12" i="6"/>
  <c r="Z12" i="6"/>
  <c r="V15" i="5"/>
  <c r="U17" i="5"/>
  <c r="Y12" i="5"/>
  <c r="Z12" i="5"/>
  <c r="Y11" i="4"/>
  <c r="Z11" i="4"/>
  <c r="W17" i="4"/>
  <c r="Z13" i="4"/>
  <c r="Y13" i="4"/>
  <c r="Z14" i="4"/>
  <c r="Y14" i="4"/>
  <c r="Y16" i="4"/>
  <c r="Z16" i="4"/>
  <c r="U15" i="4"/>
  <c r="V12" i="4"/>
  <c r="V10" i="1"/>
  <c r="V17" i="1" s="1"/>
  <c r="Z9" i="1"/>
  <c r="Y9" i="1"/>
  <c r="Z12" i="1"/>
  <c r="Y12" i="1"/>
  <c r="Z11" i="1"/>
  <c r="Y11" i="1"/>
  <c r="Z13" i="1"/>
  <c r="Y13" i="1"/>
  <c r="Y16" i="1"/>
  <c r="Z16" i="1"/>
  <c r="V17" i="5" l="1"/>
  <c r="F15" i="5"/>
  <c r="F17" i="6"/>
  <c r="Y15" i="5"/>
  <c r="Z15" i="5"/>
  <c r="F17" i="5"/>
  <c r="V15" i="4"/>
  <c r="F15" i="4" s="1"/>
  <c r="U17" i="4"/>
  <c r="Y12" i="4"/>
  <c r="Z12" i="4"/>
  <c r="Y10" i="1"/>
  <c r="Z10" i="1"/>
  <c r="Y15" i="4" l="1"/>
  <c r="F17" i="4"/>
  <c r="Z15" i="4"/>
  <c r="V17" i="4"/>
  <c r="Y20" i="1"/>
  <c r="Z20" i="1"/>
  <c r="F17" i="1"/>
</calcChain>
</file>

<file path=xl/sharedStrings.xml><?xml version="1.0" encoding="utf-8"?>
<sst xmlns="http://schemas.openxmlformats.org/spreadsheetml/2006/main" count="306" uniqueCount="68">
  <si>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</si>
  <si>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</si>
  <si>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</si>
  <si>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</si>
  <si>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</si>
  <si>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</si>
  <si>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</si>
  <si>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</si>
  <si>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</si>
  <si>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</si>
  <si>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</si>
  <si>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</si>
  <si>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</si>
  <si>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</si>
  <si>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</si>
  <si>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</si>
  <si>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</si>
  <si>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</si>
  <si>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</si>
  <si>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</si>
  <si>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</si>
  <si>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</si>
  <si>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</si>
  <si>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TV北</t>
    <phoneticPr fontId="5" type="noConversion"/>
  </si>
  <si>
    <t>TV桃</t>
    <phoneticPr fontId="5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</si>
  <si>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</si>
  <si>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</si>
  <si>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</si>
  <si>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</si>
  <si>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</si>
  <si>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</si>
  <si>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</si>
  <si>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</si>
  <si>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</si>
  <si>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</si>
  <si>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</si>
  <si>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</si>
  <si>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09-23</t>
    <phoneticPr fontId="5" type="noConversion"/>
  </si>
  <si>
    <t>00-24</t>
    <phoneticPr fontId="4" type="noConversion"/>
  </si>
  <si>
    <t>計量販</t>
    <phoneticPr fontId="4" type="noConversion"/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</si>
  <si>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</si>
  <si>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</si>
  <si>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</si>
  <si>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</si>
  <si>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</si>
  <si>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全省</t>
    <phoneticPr fontId="5" type="noConversion"/>
  </si>
  <si>
    <t>萬家福-量販店</t>
    <phoneticPr fontId="5" type="noConversion"/>
  </si>
  <si>
    <t>樂家康-超市</t>
    <phoneticPr fontId="5" type="noConversion"/>
  </si>
  <si>
    <t>62店</t>
    <phoneticPr fontId="4" type="noConversion"/>
  </si>
  <si>
    <t>217店</t>
    <phoneticPr fontId="4" type="noConversion"/>
  </si>
  <si>
    <t>20秒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</si>
  <si>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</si>
  <si>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</si>
  <si>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</si>
  <si>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</si>
  <si>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</si>
  <si>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</si>
  <si>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</si>
  <si>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</si>
  <si>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</si>
  <si>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</si>
  <si>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</si>
  <si>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</si>
  <si>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</si>
  <si>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 xml:space="preserve">全家便利商店
全家新鮮視
 (全家電視)  </t>
    <phoneticPr fontId="5" type="noConversion"/>
  </si>
  <si>
    <t>新鮮視 萬家福/樂家康 專案</t>
    <phoneticPr fontId="5" type="noConversion"/>
  </si>
  <si>
    <t>北區-北北基</t>
    <phoneticPr fontId="4" type="noConversion"/>
  </si>
  <si>
    <t>06-24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</si>
</sst>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面&quot;&quot;&quot;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6" fillId="0" borderId="19" xfId="2" applyFont="1" applyBorder="1" applyAlignment="1">
      <alignment horizontal="center" vertical="center" wrapText="1"/>
    </xf>
    <xf numFmtId="181" fontId="14" fillId="2" borderId="20" xfId="6" applyNumberFormat="1" applyFont="1" applyFill="1" applyBorder="1" applyAlignment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5" fillId="2" borderId="0" xfId="2" applyFont="1" applyFill="1">
      <alignment vertical="center"/>
    </xf>
    <xf numFmtId="181" fontId="14" fillId="2" borderId="40" xfId="6" applyNumberFormat="1" applyFont="1" applyFill="1" applyBorder="1" applyAlignment="1">
      <alignment vertical="center"/>
    </xf>
    <xf numFmtId="184" fontId="17" fillId="2" borderId="41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44" xfId="6" applyNumberFormat="1" applyFont="1" applyFill="1" applyBorder="1" applyAlignment="1">
      <alignment vertical="center"/>
    </xf>
    <xf numFmtId="184" fontId="17" fillId="2" borderId="45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50" xfId="2" applyFont="1" applyFill="1" applyBorder="1" applyAlignment="1">
      <alignment horizontal="left" vertical="center" indent="2"/>
    </xf>
    <xf numFmtId="38" fontId="18" fillId="2" borderId="50" xfId="1" applyNumberFormat="1" applyFont="1" applyFill="1" applyBorder="1" applyAlignment="1">
      <alignment vertical="center" wrapText="1"/>
    </xf>
    <xf numFmtId="49" fontId="18" fillId="2" borderId="50" xfId="8" applyNumberFormat="1" applyFont="1" applyFill="1" applyBorder="1" applyAlignment="1">
      <alignment horizontal="center" vertical="center"/>
    </xf>
    <xf numFmtId="38" fontId="18" fillId="2" borderId="50" xfId="8" applyNumberFormat="1" applyFont="1" applyFill="1" applyBorder="1" applyAlignment="1">
      <alignment horizontal="center" vertical="center"/>
    </xf>
    <xf numFmtId="38" fontId="21" fillId="2" borderId="50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20" xfId="6" applyNumberFormat="1" applyFont="1" applyFill="1" applyBorder="1" applyAlignment="1">
      <alignment horizontal="center" vertical="center"/>
    </xf>
    <xf numFmtId="181" fontId="16" fillId="0" borderId="20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 wrapText="1"/>
    </xf>
    <xf numFmtId="179" fontId="20" fillId="0" borderId="4" xfId="2" applyNumberFormat="1" applyFont="1" applyBorder="1" applyAlignment="1">
      <alignment horizontal="center" vertical="center" wrapText="1"/>
    </xf>
    <xf numFmtId="38" fontId="20" fillId="2" borderId="4" xfId="1" applyNumberFormat="1" applyFont="1" applyFill="1" applyBorder="1" applyAlignment="1">
      <alignment horizontal="center" vertical="center" wrapText="1"/>
    </xf>
    <xf numFmtId="0" fontId="20" fillId="0" borderId="16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38" fontId="20" fillId="2" borderId="18" xfId="1" applyNumberFormat="1" applyFont="1" applyFill="1" applyBorder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179" fontId="20" fillId="0" borderId="22" xfId="2" applyNumberFormat="1" applyFont="1" applyBorder="1" applyAlignment="1">
      <alignment horizontal="center" vertical="center" wrapText="1"/>
    </xf>
    <xf numFmtId="38" fontId="20" fillId="2" borderId="22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 wrapText="1"/>
    </xf>
    <xf numFmtId="182" fontId="20" fillId="0" borderId="28" xfId="2" applyNumberFormat="1" applyFont="1" applyBorder="1" applyAlignment="1">
      <alignment horizontal="center" vertical="center" wrapText="1"/>
    </xf>
    <xf numFmtId="38" fontId="20" fillId="2" borderId="28" xfId="1" applyNumberFormat="1" applyFont="1" applyFill="1" applyBorder="1" applyAlignment="1">
      <alignment horizontal="center" vertical="center" wrapText="1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38" fontId="20" fillId="2" borderId="31" xfId="1" applyNumberFormat="1" applyFont="1" applyFill="1" applyBorder="1" applyAlignment="1">
      <alignment horizontal="center" vertical="center"/>
    </xf>
    <xf numFmtId="182" fontId="20" fillId="0" borderId="22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33" xfId="5" applyFont="1" applyBorder="1" applyAlignment="1">
      <alignment horizontal="center" vertical="center"/>
    </xf>
    <xf numFmtId="0" fontId="20" fillId="0" borderId="34" xfId="5" applyFont="1" applyBorder="1" applyAlignment="1">
      <alignment horizontal="center" vertical="center"/>
    </xf>
    <xf numFmtId="38" fontId="20" fillId="2" borderId="35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7" xfId="7" applyFont="1" applyFill="1" applyBorder="1" applyAlignment="1">
      <alignment horizontal="center" vertical="center"/>
    </xf>
    <xf numFmtId="0" fontId="20" fillId="2" borderId="38" xfId="7" applyFont="1" applyFill="1" applyBorder="1" applyAlignment="1">
      <alignment horizontal="center" vertical="center"/>
    </xf>
    <xf numFmtId="183" fontId="20" fillId="2" borderId="38" xfId="7" applyNumberFormat="1" applyFont="1" applyFill="1" applyBorder="1" applyAlignment="1">
      <alignment horizontal="center" vertical="center" wrapText="1"/>
    </xf>
    <xf numFmtId="183" fontId="19" fillId="2" borderId="39" xfId="7" applyNumberFormat="1" applyFont="1" applyFill="1" applyBorder="1" applyAlignment="1">
      <alignment horizontal="center" vertical="center" wrapText="1"/>
    </xf>
    <xf numFmtId="38" fontId="20" fillId="0" borderId="38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43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6" xfId="2" applyFont="1" applyBorder="1" applyAlignment="1">
      <alignment horizontal="center" vertical="center"/>
    </xf>
    <xf numFmtId="183" fontId="19" fillId="2" borderId="47" xfId="7" applyNumberFormat="1" applyFont="1" applyFill="1" applyBorder="1" applyAlignment="1">
      <alignment horizontal="center" vertical="center" wrapText="1"/>
    </xf>
    <xf numFmtId="184" fontId="20" fillId="2" borderId="36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8" xfId="2" applyFont="1" applyBorder="1" applyAlignment="1">
      <alignment horizontal="center" vertical="center"/>
    </xf>
    <xf numFmtId="38" fontId="19" fillId="2" borderId="49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9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49" fontId="20" fillId="0" borderId="4" xfId="1" quotePrefix="1" applyNumberFormat="1" applyFont="1" applyBorder="1" applyAlignment="1">
      <alignment horizontal="center"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49" fontId="20" fillId="0" borderId="22" xfId="1" quotePrefix="1" applyNumberFormat="1" applyFont="1" applyBorder="1" applyAlignment="1">
      <alignment horizontal="center"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6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51" xfId="9" applyFont="1" applyBorder="1" applyAlignment="1">
      <alignment horizontal="left" vertical="center" wrapText="1"/>
    </xf>
    <xf numFmtId="0" fontId="29" fillId="0" borderId="51" xfId="9" applyFont="1" applyBorder="1" applyAlignment="1">
      <alignment horizontal="center" vertical="center" wrapText="1"/>
    </xf>
    <xf numFmtId="0" fontId="20" fillId="0" borderId="54" xfId="2" applyFont="1" applyBorder="1" applyAlignment="1">
      <alignment horizontal="center" vertical="center" wrapText="1"/>
    </xf>
    <xf numFmtId="0" fontId="20" fillId="0" borderId="55" xfId="2" applyFont="1" applyBorder="1" applyAlignment="1">
      <alignment horizontal="center" vertical="center" wrapText="1"/>
    </xf>
    <xf numFmtId="180" fontId="20" fillId="0" borderId="4" xfId="1" applyNumberFormat="1" applyFont="1" applyBorder="1" applyAlignment="1">
      <alignment horizontal="center" vertical="center"/>
    </xf>
    <xf numFmtId="180" fontId="20" fillId="0" borderId="22" xfId="1" applyNumberFormat="1" applyFont="1" applyBorder="1" applyAlignment="1">
      <alignment horizontal="center" vertical="center"/>
    </xf>
    <xf numFmtId="38" fontId="19" fillId="2" borderId="15" xfId="1" applyNumberFormat="1" applyFont="1" applyFill="1" applyBorder="1" applyAlignment="1">
      <alignment horizontal="center" vertical="center" wrapText="1"/>
    </xf>
    <xf numFmtId="38" fontId="19" fillId="2" borderId="23" xfId="1" applyNumberFormat="1" applyFont="1" applyFill="1" applyBorder="1" applyAlignment="1">
      <alignment horizontal="center" vertical="center" wrapText="1"/>
    </xf>
    <xf numFmtId="38" fontId="19" fillId="2" borderId="32" xfId="1" applyNumberFormat="1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52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8" xfId="1" applyNumberFormat="1" applyFont="1" applyBorder="1" applyAlignment="1">
      <alignment horizontal="center" vertical="center"/>
    </xf>
    <xf numFmtId="180" fontId="20" fillId="0" borderId="53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  <xf numFmtId="49" fontId="20" fillId="0" borderId="28" xfId="1" quotePrefix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2"/>
  <sheetViews>
    <sheetView showGridLines="0" tabSelected="1" view="pageBreakPreview" zoomScale="35" zoomScaleNormal="60" zoomScaleSheetLayoutView="35" zoomScalePageLayoutView="75" workbookViewId="0">
      <selection activeCell="P12" sqref="P12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63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1.65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3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30秒</v>
      </c>
      <c r="F9" s="56">
        <f>300000/420*V9*W6</f>
        <v>132000</v>
      </c>
      <c r="G9" s="154">
        <v>250000</v>
      </c>
      <c r="H9" s="57">
        <v>8</v>
      </c>
      <c r="I9" s="58">
        <f t="shared" ref="I9:U11" si="1">H9</f>
        <v>8</v>
      </c>
      <c r="J9" s="58">
        <f>I9</f>
        <v>8</v>
      </c>
      <c r="K9" s="58">
        <f t="shared" si="1"/>
        <v>8</v>
      </c>
      <c r="L9" s="58">
        <f>K9</f>
        <v>8</v>
      </c>
      <c r="M9" s="58">
        <f t="shared" si="1"/>
        <v>8</v>
      </c>
      <c r="N9" s="58">
        <f>M9</f>
        <v>8</v>
      </c>
      <c r="O9" s="58">
        <f>N9</f>
        <v>8</v>
      </c>
      <c r="P9" s="58">
        <f>O9</f>
        <v>8</v>
      </c>
      <c r="Q9" s="58">
        <f>P9</f>
        <v>8</v>
      </c>
      <c r="R9" s="58">
        <f>Q9</f>
        <v>8</v>
      </c>
      <c r="S9" s="58">
        <f>P9</f>
        <v>8</v>
      </c>
      <c r="T9" s="58">
        <f t="shared" si="1"/>
        <v>8</v>
      </c>
      <c r="U9" s="58">
        <f t="shared" si="1"/>
        <v>8</v>
      </c>
      <c r="V9" s="59">
        <f t="shared" ref="V9:V16" si="2">SUM(H9:U9)</f>
        <v>112</v>
      </c>
      <c r="W9" s="137">
        <f>250000/420*W6*V9</f>
        <v>109999.99999999999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14</v>
      </c>
      <c r="I10" s="64">
        <f>H10</f>
        <v>14</v>
      </c>
      <c r="J10" s="64">
        <f>I10</f>
        <v>14</v>
      </c>
      <c r="K10" s="64">
        <f t="shared" si="1"/>
        <v>14</v>
      </c>
      <c r="L10" s="64">
        <f>K10</f>
        <v>14</v>
      </c>
      <c r="M10" s="64">
        <f t="shared" si="1"/>
        <v>14</v>
      </c>
      <c r="N10" s="64">
        <f>M10</f>
        <v>14</v>
      </c>
      <c r="O10" s="64">
        <f t="shared" si="1"/>
        <v>14</v>
      </c>
      <c r="P10" s="64">
        <f t="shared" ref="P10:R11" si="3">O10</f>
        <v>14</v>
      </c>
      <c r="Q10" s="64">
        <f t="shared" si="3"/>
        <v>14</v>
      </c>
      <c r="R10" s="64">
        <v>13</v>
      </c>
      <c r="S10" s="64">
        <f>R10</f>
        <v>13</v>
      </c>
      <c r="T10" s="64">
        <f t="shared" si="1"/>
        <v>13</v>
      </c>
      <c r="U10" s="64">
        <f>T10</f>
        <v>13</v>
      </c>
      <c r="V10" s="65">
        <f t="shared" si="2"/>
        <v>192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30秒</v>
      </c>
      <c r="F11" s="68">
        <f>150000/1008*V11*W7</f>
        <v>87500</v>
      </c>
      <c r="G11" s="155"/>
      <c r="H11" s="69">
        <v>14</v>
      </c>
      <c r="I11" s="70">
        <f>H11</f>
        <v>14</v>
      </c>
      <c r="J11" s="70">
        <f t="shared" si="1"/>
        <v>14</v>
      </c>
      <c r="K11" s="70">
        <f t="shared" si="1"/>
        <v>14</v>
      </c>
      <c r="L11" s="70">
        <f t="shared" si="1"/>
        <v>14</v>
      </c>
      <c r="M11" s="70">
        <f t="shared" si="1"/>
        <v>14</v>
      </c>
      <c r="N11" s="70">
        <f t="shared" si="1"/>
        <v>14</v>
      </c>
      <c r="O11" s="70">
        <f>N11</f>
        <v>14</v>
      </c>
      <c r="P11" s="70">
        <f>O11</f>
        <v>14</v>
      </c>
      <c r="Q11" s="70">
        <f t="shared" si="3"/>
        <v>14</v>
      </c>
      <c r="R11" s="70">
        <f>Q11</f>
        <v>14</v>
      </c>
      <c r="S11" s="70">
        <f>R11</f>
        <v>14</v>
      </c>
      <c r="T11" s="70">
        <f t="shared" si="1"/>
        <v>14</v>
      </c>
      <c r="U11" s="70">
        <f t="shared" si="1"/>
        <v>14</v>
      </c>
      <c r="V11" s="71">
        <f t="shared" si="2"/>
        <v>196</v>
      </c>
      <c r="W11" s="137">
        <f>120000/504*W7*V11</f>
        <v>140000</v>
      </c>
      <c r="X11" s="33" t="s">
        <v>25</v>
      </c>
      <c r="Y11" s="34">
        <f t="shared" ref="Y11:Y16" si="4">V11*C11</f>
        <v>236964</v>
      </c>
      <c r="Z11" s="35">
        <f t="shared" ref="Z11:Z16" si="5">1000*(C11/24/6)*V11</f>
        <v>1645583.3333333335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70000</v>
      </c>
      <c r="G12" s="155"/>
      <c r="H12" s="63">
        <f>H11</f>
        <v>14</v>
      </c>
      <c r="I12" s="64">
        <f>I11</f>
        <v>14</v>
      </c>
      <c r="J12" s="64">
        <f t="shared" ref="J12:U12" si="6">J11</f>
        <v>14</v>
      </c>
      <c r="K12" s="64">
        <f t="shared" si="6"/>
        <v>14</v>
      </c>
      <c r="L12" s="64">
        <f t="shared" si="6"/>
        <v>14</v>
      </c>
      <c r="M12" s="64">
        <f t="shared" si="6"/>
        <v>14</v>
      </c>
      <c r="N12" s="64">
        <f t="shared" si="6"/>
        <v>14</v>
      </c>
      <c r="O12" s="64">
        <f t="shared" si="6"/>
        <v>14</v>
      </c>
      <c r="P12" s="64">
        <f t="shared" si="6"/>
        <v>14</v>
      </c>
      <c r="Q12" s="64">
        <f>Q11</f>
        <v>14</v>
      </c>
      <c r="R12" s="64">
        <f>R11</f>
        <v>14</v>
      </c>
      <c r="S12" s="64">
        <f t="shared" si="6"/>
        <v>14</v>
      </c>
      <c r="T12" s="64">
        <f t="shared" si="6"/>
        <v>14</v>
      </c>
      <c r="U12" s="64">
        <f t="shared" si="6"/>
        <v>14</v>
      </c>
      <c r="V12" s="65">
        <f t="shared" si="2"/>
        <v>196</v>
      </c>
      <c r="W12" s="137"/>
      <c r="X12" s="33" t="s">
        <v>25</v>
      </c>
      <c r="Y12" s="34">
        <f t="shared" si="4"/>
        <v>129360</v>
      </c>
      <c r="Z12" s="35">
        <f t="shared" si="5"/>
        <v>898333.33333333326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52500</v>
      </c>
      <c r="G13" s="155"/>
      <c r="H13" s="63">
        <f>H11</f>
        <v>14</v>
      </c>
      <c r="I13" s="64">
        <f>I11</f>
        <v>14</v>
      </c>
      <c r="J13" s="64">
        <f t="shared" ref="J13:U13" si="7">J11</f>
        <v>14</v>
      </c>
      <c r="K13" s="64">
        <f t="shared" si="7"/>
        <v>14</v>
      </c>
      <c r="L13" s="64">
        <f t="shared" si="7"/>
        <v>14</v>
      </c>
      <c r="M13" s="64">
        <f t="shared" si="7"/>
        <v>14</v>
      </c>
      <c r="N13" s="64">
        <f t="shared" si="7"/>
        <v>14</v>
      </c>
      <c r="O13" s="64">
        <f t="shared" si="7"/>
        <v>14</v>
      </c>
      <c r="P13" s="64">
        <f t="shared" si="7"/>
        <v>14</v>
      </c>
      <c r="Q13" s="64">
        <f>Q11</f>
        <v>14</v>
      </c>
      <c r="R13" s="64">
        <f>R11</f>
        <v>14</v>
      </c>
      <c r="S13" s="64">
        <f t="shared" si="7"/>
        <v>14</v>
      </c>
      <c r="T13" s="64">
        <f t="shared" si="7"/>
        <v>14</v>
      </c>
      <c r="U13" s="64">
        <f t="shared" si="7"/>
        <v>14</v>
      </c>
      <c r="V13" s="65">
        <f t="shared" si="2"/>
        <v>196</v>
      </c>
      <c r="W13" s="137"/>
      <c r="X13" s="33" t="s">
        <v>25</v>
      </c>
      <c r="Y13" s="34">
        <f t="shared" si="4"/>
        <v>113484</v>
      </c>
      <c r="Z13" s="35">
        <f t="shared" si="5"/>
        <v>788083.33333333326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43750</v>
      </c>
      <c r="G14" s="155"/>
      <c r="H14" s="63">
        <f t="shared" ref="H14:U15" si="8">H11</f>
        <v>14</v>
      </c>
      <c r="I14" s="64">
        <f t="shared" si="8"/>
        <v>14</v>
      </c>
      <c r="J14" s="64">
        <f t="shared" si="8"/>
        <v>14</v>
      </c>
      <c r="K14" s="64">
        <f t="shared" si="8"/>
        <v>14</v>
      </c>
      <c r="L14" s="64">
        <f t="shared" si="8"/>
        <v>14</v>
      </c>
      <c r="M14" s="64">
        <f t="shared" si="8"/>
        <v>14</v>
      </c>
      <c r="N14" s="64">
        <f t="shared" si="8"/>
        <v>14</v>
      </c>
      <c r="O14" s="64">
        <f t="shared" si="8"/>
        <v>14</v>
      </c>
      <c r="P14" s="64">
        <f t="shared" si="8"/>
        <v>14</v>
      </c>
      <c r="Q14" s="64">
        <f>Q11</f>
        <v>14</v>
      </c>
      <c r="R14" s="64">
        <f>R11</f>
        <v>14</v>
      </c>
      <c r="S14" s="64">
        <f t="shared" si="8"/>
        <v>14</v>
      </c>
      <c r="T14" s="64">
        <f t="shared" si="8"/>
        <v>14</v>
      </c>
      <c r="U14" s="64">
        <f t="shared" si="8"/>
        <v>14</v>
      </c>
      <c r="V14" s="65">
        <f t="shared" si="2"/>
        <v>196</v>
      </c>
      <c r="W14" s="137"/>
      <c r="X14" s="33" t="s">
        <v>25</v>
      </c>
      <c r="Y14" s="34">
        <f t="shared" si="4"/>
        <v>74480</v>
      </c>
      <c r="Z14" s="35">
        <f t="shared" si="5"/>
        <v>517222.22222222219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43750</v>
      </c>
      <c r="G15" s="155"/>
      <c r="H15" s="63">
        <f t="shared" si="8"/>
        <v>14</v>
      </c>
      <c r="I15" s="64">
        <f t="shared" si="8"/>
        <v>14</v>
      </c>
      <c r="J15" s="64">
        <f t="shared" si="8"/>
        <v>14</v>
      </c>
      <c r="K15" s="64">
        <f t="shared" si="8"/>
        <v>14</v>
      </c>
      <c r="L15" s="64">
        <f t="shared" si="8"/>
        <v>14</v>
      </c>
      <c r="M15" s="64">
        <f t="shared" si="8"/>
        <v>14</v>
      </c>
      <c r="N15" s="64">
        <f t="shared" si="8"/>
        <v>14</v>
      </c>
      <c r="O15" s="64">
        <f t="shared" si="8"/>
        <v>14</v>
      </c>
      <c r="P15" s="64">
        <f t="shared" si="8"/>
        <v>14</v>
      </c>
      <c r="Q15" s="64">
        <f>Q11</f>
        <v>14</v>
      </c>
      <c r="R15" s="64">
        <f>R11</f>
        <v>14</v>
      </c>
      <c r="S15" s="64">
        <f t="shared" si="8"/>
        <v>14</v>
      </c>
      <c r="T15" s="64">
        <f t="shared" si="8"/>
        <v>14</v>
      </c>
      <c r="U15" s="64">
        <f t="shared" si="8"/>
        <v>14</v>
      </c>
      <c r="V15" s="65">
        <f t="shared" si="2"/>
        <v>196</v>
      </c>
      <c r="W15" s="137"/>
      <c r="X15" s="33" t="s">
        <v>25</v>
      </c>
      <c r="Y15" s="34">
        <f t="shared" si="4"/>
        <v>83888</v>
      </c>
      <c r="Z15" s="35">
        <f t="shared" si="5"/>
        <v>582555.5555555555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26250</v>
      </c>
      <c r="G16" s="156"/>
      <c r="H16" s="76">
        <f>H11</f>
        <v>14</v>
      </c>
      <c r="I16" s="77">
        <f>I11</f>
        <v>14</v>
      </c>
      <c r="J16" s="77">
        <f t="shared" ref="J16:U16" si="9">J11</f>
        <v>14</v>
      </c>
      <c r="K16" s="77">
        <f t="shared" si="9"/>
        <v>14</v>
      </c>
      <c r="L16" s="77">
        <f t="shared" si="9"/>
        <v>14</v>
      </c>
      <c r="M16" s="77">
        <f t="shared" si="9"/>
        <v>14</v>
      </c>
      <c r="N16" s="77">
        <f t="shared" si="9"/>
        <v>14</v>
      </c>
      <c r="O16" s="77">
        <f t="shared" si="9"/>
        <v>14</v>
      </c>
      <c r="P16" s="77">
        <f t="shared" si="9"/>
        <v>14</v>
      </c>
      <c r="Q16" s="77">
        <f>Q11</f>
        <v>14</v>
      </c>
      <c r="R16" s="77">
        <f>R11</f>
        <v>14</v>
      </c>
      <c r="S16" s="77">
        <f t="shared" si="9"/>
        <v>14</v>
      </c>
      <c r="T16" s="77">
        <f t="shared" si="9"/>
        <v>14</v>
      </c>
      <c r="U16" s="77">
        <f t="shared" si="9"/>
        <v>14</v>
      </c>
      <c r="V16" s="78">
        <f t="shared" si="2"/>
        <v>196</v>
      </c>
      <c r="W16" s="137"/>
      <c r="X16" s="33" t="s">
        <v>25</v>
      </c>
      <c r="Y16" s="34">
        <f t="shared" si="4"/>
        <v>18032</v>
      </c>
      <c r="Z16" s="35">
        <f t="shared" si="5"/>
        <v>125222.22222222223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455750</v>
      </c>
      <c r="G17" s="83">
        <f>SUM(G9:G13)</f>
        <v>250000</v>
      </c>
      <c r="H17" s="84">
        <f t="shared" ref="H17:U17" si="10">SUM(H9:H16)</f>
        <v>106</v>
      </c>
      <c r="I17" s="84">
        <f t="shared" si="10"/>
        <v>106</v>
      </c>
      <c r="J17" s="84">
        <f t="shared" si="10"/>
        <v>106</v>
      </c>
      <c r="K17" s="84">
        <f t="shared" si="10"/>
        <v>106</v>
      </c>
      <c r="L17" s="84">
        <f t="shared" si="10"/>
        <v>106</v>
      </c>
      <c r="M17" s="84">
        <f t="shared" si="10"/>
        <v>106</v>
      </c>
      <c r="N17" s="84">
        <f t="shared" si="10"/>
        <v>106</v>
      </c>
      <c r="O17" s="84">
        <f t="shared" si="10"/>
        <v>106</v>
      </c>
      <c r="P17" s="84">
        <f t="shared" si="10"/>
        <v>106</v>
      </c>
      <c r="Q17" s="84">
        <f t="shared" si="10"/>
        <v>106</v>
      </c>
      <c r="R17" s="84">
        <f t="shared" si="10"/>
        <v>105</v>
      </c>
      <c r="S17" s="84">
        <f t="shared" si="10"/>
        <v>105</v>
      </c>
      <c r="T17" s="84">
        <f t="shared" si="10"/>
        <v>105</v>
      </c>
      <c r="U17" s="84">
        <f t="shared" si="10"/>
        <v>105</v>
      </c>
      <c r="V17" s="85">
        <f>SUM(V7:V16)</f>
        <v>1480</v>
      </c>
      <c r="W17" s="138">
        <f>SUM(W9:W16)</f>
        <v>250000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12500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262500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F93-63A7-4F37-8907-BF21DF7D2D33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P11" sqref="P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9" width="0" style="31" hidden="1" customWidth="1"/>
    <col min="30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52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2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">
        <v>50</v>
      </c>
      <c r="F9" s="56">
        <f>300000/420*V9*W6</f>
        <v>120000.00000000001</v>
      </c>
      <c r="G9" s="154">
        <v>250000</v>
      </c>
      <c r="H9" s="57">
        <v>12</v>
      </c>
      <c r="I9" s="58">
        <f t="shared" ref="I9:U10" si="1">H9</f>
        <v>12</v>
      </c>
      <c r="J9" s="58">
        <f>I9</f>
        <v>12</v>
      </c>
      <c r="K9" s="58">
        <f t="shared" si="1"/>
        <v>12</v>
      </c>
      <c r="L9" s="58">
        <f>K9</f>
        <v>12</v>
      </c>
      <c r="M9" s="58">
        <f t="shared" si="1"/>
        <v>12</v>
      </c>
      <c r="N9" s="58">
        <f>M9</f>
        <v>12</v>
      </c>
      <c r="O9" s="58">
        <f>N9</f>
        <v>12</v>
      </c>
      <c r="P9" s="58">
        <f>O9</f>
        <v>12</v>
      </c>
      <c r="Q9" s="58">
        <f>P9</f>
        <v>12</v>
      </c>
      <c r="R9" s="58">
        <f>Q9</f>
        <v>12</v>
      </c>
      <c r="S9" s="58">
        <f>P9</f>
        <v>12</v>
      </c>
      <c r="T9" s="58">
        <f t="shared" si="1"/>
        <v>12</v>
      </c>
      <c r="U9" s="58">
        <f t="shared" si="1"/>
        <v>12</v>
      </c>
      <c r="V9" s="59">
        <f t="shared" ref="V9:V16" si="2">SUM(H9:U9)</f>
        <v>168</v>
      </c>
      <c r="W9" s="137">
        <f>250000/420*V9</f>
        <v>99999.999999999985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21</v>
      </c>
      <c r="I10" s="64">
        <f>H10</f>
        <v>21</v>
      </c>
      <c r="J10" s="64">
        <f>I10</f>
        <v>21</v>
      </c>
      <c r="K10" s="64">
        <f t="shared" si="1"/>
        <v>21</v>
      </c>
      <c r="L10" s="64">
        <f t="shared" ref="L10" si="3">K10</f>
        <v>21</v>
      </c>
      <c r="M10" s="64">
        <f t="shared" si="1"/>
        <v>21</v>
      </c>
      <c r="N10" s="64">
        <f>M10</f>
        <v>21</v>
      </c>
      <c r="O10" s="64">
        <f t="shared" si="1"/>
        <v>21</v>
      </c>
      <c r="P10" s="64">
        <v>20</v>
      </c>
      <c r="Q10" s="64">
        <f>P10</f>
        <v>20</v>
      </c>
      <c r="R10" s="64">
        <f>Q10</f>
        <v>20</v>
      </c>
      <c r="S10" s="64">
        <f t="shared" ref="S10" si="4">P10</f>
        <v>20</v>
      </c>
      <c r="T10" s="64">
        <f t="shared" si="1"/>
        <v>20</v>
      </c>
      <c r="U10" s="64">
        <f>T10</f>
        <v>20</v>
      </c>
      <c r="V10" s="65">
        <f t="shared" si="2"/>
        <v>288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">
        <v>50</v>
      </c>
      <c r="F11" s="68">
        <f>150000/1008*V11*W7</f>
        <v>93749.999999999985</v>
      </c>
      <c r="G11" s="155"/>
      <c r="H11" s="69">
        <v>23</v>
      </c>
      <c r="I11" s="70">
        <f>H11</f>
        <v>23</v>
      </c>
      <c r="J11" s="70">
        <f t="shared" ref="J11:U11" si="5">I11</f>
        <v>23</v>
      </c>
      <c r="K11" s="70">
        <f t="shared" si="5"/>
        <v>23</v>
      </c>
      <c r="L11" s="70">
        <f t="shared" si="5"/>
        <v>23</v>
      </c>
      <c r="M11" s="70">
        <f t="shared" si="5"/>
        <v>23</v>
      </c>
      <c r="N11" s="70">
        <f t="shared" si="5"/>
        <v>23</v>
      </c>
      <c r="O11" s="70">
        <v>22</v>
      </c>
      <c r="P11" s="70">
        <f>O11</f>
        <v>22</v>
      </c>
      <c r="Q11" s="70">
        <f>P11</f>
        <v>22</v>
      </c>
      <c r="R11" s="70">
        <f>Q11</f>
        <v>22</v>
      </c>
      <c r="S11" s="70">
        <f>R11</f>
        <v>22</v>
      </c>
      <c r="T11" s="70">
        <f t="shared" si="5"/>
        <v>22</v>
      </c>
      <c r="U11" s="70">
        <f t="shared" si="5"/>
        <v>22</v>
      </c>
      <c r="V11" s="71">
        <f t="shared" si="2"/>
        <v>315</v>
      </c>
      <c r="W11" s="137">
        <f>120000/504*W7*V11</f>
        <v>150000</v>
      </c>
      <c r="X11" s="33" t="s">
        <v>25</v>
      </c>
      <c r="Y11" s="34">
        <f t="shared" ref="Y11:Y16" si="6">V11*C11</f>
        <v>380835</v>
      </c>
      <c r="Z11" s="35">
        <f t="shared" ref="Z11:Z16" si="7">1000*(C11/24/6)*V11</f>
        <v>2644687.5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75000</v>
      </c>
      <c r="G12" s="155"/>
      <c r="H12" s="63">
        <f>H11</f>
        <v>23</v>
      </c>
      <c r="I12" s="64">
        <f>I11</f>
        <v>23</v>
      </c>
      <c r="J12" s="64">
        <f t="shared" ref="J12:U12" si="8">J11</f>
        <v>23</v>
      </c>
      <c r="K12" s="64">
        <f t="shared" si="8"/>
        <v>23</v>
      </c>
      <c r="L12" s="64">
        <f t="shared" si="8"/>
        <v>23</v>
      </c>
      <c r="M12" s="64">
        <f t="shared" si="8"/>
        <v>23</v>
      </c>
      <c r="N12" s="64">
        <f t="shared" si="8"/>
        <v>23</v>
      </c>
      <c r="O12" s="64">
        <f t="shared" si="8"/>
        <v>22</v>
      </c>
      <c r="P12" s="64">
        <f t="shared" si="8"/>
        <v>22</v>
      </c>
      <c r="Q12" s="64">
        <f>Q11</f>
        <v>22</v>
      </c>
      <c r="R12" s="64">
        <f>R11</f>
        <v>22</v>
      </c>
      <c r="S12" s="64">
        <f t="shared" si="8"/>
        <v>22</v>
      </c>
      <c r="T12" s="64">
        <f t="shared" si="8"/>
        <v>22</v>
      </c>
      <c r="U12" s="64">
        <f t="shared" si="8"/>
        <v>22</v>
      </c>
      <c r="V12" s="65">
        <f t="shared" si="2"/>
        <v>315</v>
      </c>
      <c r="W12" s="137"/>
      <c r="X12" s="33" t="s">
        <v>25</v>
      </c>
      <c r="Y12" s="34">
        <f t="shared" si="6"/>
        <v>207900</v>
      </c>
      <c r="Z12" s="35">
        <f t="shared" si="7"/>
        <v>1443750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56250.000000000007</v>
      </c>
      <c r="G13" s="155"/>
      <c r="H13" s="63">
        <f>H11</f>
        <v>23</v>
      </c>
      <c r="I13" s="64">
        <f>I11</f>
        <v>23</v>
      </c>
      <c r="J13" s="64">
        <f t="shared" ref="J13:U13" si="9">J11</f>
        <v>23</v>
      </c>
      <c r="K13" s="64">
        <f t="shared" si="9"/>
        <v>23</v>
      </c>
      <c r="L13" s="64">
        <f t="shared" si="9"/>
        <v>23</v>
      </c>
      <c r="M13" s="64">
        <f t="shared" si="9"/>
        <v>23</v>
      </c>
      <c r="N13" s="64">
        <f t="shared" si="9"/>
        <v>23</v>
      </c>
      <c r="O13" s="64">
        <f t="shared" si="9"/>
        <v>22</v>
      </c>
      <c r="P13" s="64">
        <f t="shared" si="9"/>
        <v>22</v>
      </c>
      <c r="Q13" s="64">
        <f>Q11</f>
        <v>22</v>
      </c>
      <c r="R13" s="64">
        <f>R11</f>
        <v>22</v>
      </c>
      <c r="S13" s="64">
        <f t="shared" si="9"/>
        <v>22</v>
      </c>
      <c r="T13" s="64">
        <f t="shared" si="9"/>
        <v>22</v>
      </c>
      <c r="U13" s="64">
        <f t="shared" si="9"/>
        <v>22</v>
      </c>
      <c r="V13" s="65">
        <f t="shared" si="2"/>
        <v>315</v>
      </c>
      <c r="W13" s="137"/>
      <c r="X13" s="33" t="s">
        <v>25</v>
      </c>
      <c r="Y13" s="34">
        <f t="shared" si="6"/>
        <v>182385</v>
      </c>
      <c r="Z13" s="35">
        <f t="shared" si="7"/>
        <v>1266562.5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46874.999999999993</v>
      </c>
      <c r="G14" s="155"/>
      <c r="H14" s="63">
        <f t="shared" ref="H14:U14" si="10">H11</f>
        <v>23</v>
      </c>
      <c r="I14" s="64">
        <f t="shared" si="10"/>
        <v>23</v>
      </c>
      <c r="J14" s="64">
        <f t="shared" si="10"/>
        <v>23</v>
      </c>
      <c r="K14" s="64">
        <f t="shared" si="10"/>
        <v>23</v>
      </c>
      <c r="L14" s="64">
        <f t="shared" si="10"/>
        <v>23</v>
      </c>
      <c r="M14" s="64">
        <f t="shared" si="10"/>
        <v>23</v>
      </c>
      <c r="N14" s="64">
        <f t="shared" si="10"/>
        <v>23</v>
      </c>
      <c r="O14" s="64">
        <f t="shared" si="10"/>
        <v>22</v>
      </c>
      <c r="P14" s="64">
        <f t="shared" si="10"/>
        <v>22</v>
      </c>
      <c r="Q14" s="64">
        <f>Q11</f>
        <v>22</v>
      </c>
      <c r="R14" s="64">
        <f>R11</f>
        <v>22</v>
      </c>
      <c r="S14" s="64">
        <f t="shared" si="10"/>
        <v>22</v>
      </c>
      <c r="T14" s="64">
        <f t="shared" si="10"/>
        <v>22</v>
      </c>
      <c r="U14" s="64">
        <f t="shared" si="10"/>
        <v>22</v>
      </c>
      <c r="V14" s="65">
        <f t="shared" si="2"/>
        <v>315</v>
      </c>
      <c r="W14" s="137"/>
      <c r="X14" s="33" t="s">
        <v>25</v>
      </c>
      <c r="Y14" s="34">
        <f t="shared" si="6"/>
        <v>119700</v>
      </c>
      <c r="Z14" s="35">
        <f t="shared" si="7"/>
        <v>831249.99999999988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46874.999999999993</v>
      </c>
      <c r="G15" s="155"/>
      <c r="H15" s="63">
        <f t="shared" ref="H15:U15" si="11">H12</f>
        <v>23</v>
      </c>
      <c r="I15" s="64">
        <f t="shared" si="11"/>
        <v>23</v>
      </c>
      <c r="J15" s="64">
        <f t="shared" si="11"/>
        <v>23</v>
      </c>
      <c r="K15" s="64">
        <f t="shared" si="11"/>
        <v>23</v>
      </c>
      <c r="L15" s="64">
        <f t="shared" si="11"/>
        <v>23</v>
      </c>
      <c r="M15" s="64">
        <f t="shared" si="11"/>
        <v>23</v>
      </c>
      <c r="N15" s="64">
        <f t="shared" si="11"/>
        <v>23</v>
      </c>
      <c r="O15" s="64">
        <f t="shared" si="11"/>
        <v>22</v>
      </c>
      <c r="P15" s="64">
        <f t="shared" si="11"/>
        <v>22</v>
      </c>
      <c r="Q15" s="64">
        <f>Q11</f>
        <v>22</v>
      </c>
      <c r="R15" s="64">
        <f>R11</f>
        <v>22</v>
      </c>
      <c r="S15" s="64">
        <f t="shared" si="11"/>
        <v>22</v>
      </c>
      <c r="T15" s="64">
        <f t="shared" si="11"/>
        <v>22</v>
      </c>
      <c r="U15" s="64">
        <f t="shared" si="11"/>
        <v>22</v>
      </c>
      <c r="V15" s="65">
        <f t="shared" si="2"/>
        <v>315</v>
      </c>
      <c r="W15" s="137"/>
      <c r="X15" s="33" t="s">
        <v>25</v>
      </c>
      <c r="Y15" s="34">
        <f t="shared" si="6"/>
        <v>134820</v>
      </c>
      <c r="Z15" s="35">
        <f t="shared" si="7"/>
        <v>936249.99999999988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28125.000000000004</v>
      </c>
      <c r="G16" s="156"/>
      <c r="H16" s="76">
        <f>H11</f>
        <v>23</v>
      </c>
      <c r="I16" s="77">
        <f>I11</f>
        <v>23</v>
      </c>
      <c r="J16" s="77">
        <f t="shared" ref="J16:U16" si="12">J11</f>
        <v>23</v>
      </c>
      <c r="K16" s="77">
        <f t="shared" si="12"/>
        <v>23</v>
      </c>
      <c r="L16" s="77">
        <f t="shared" si="12"/>
        <v>23</v>
      </c>
      <c r="M16" s="77">
        <f t="shared" si="12"/>
        <v>23</v>
      </c>
      <c r="N16" s="77">
        <f t="shared" si="12"/>
        <v>23</v>
      </c>
      <c r="O16" s="77">
        <f t="shared" si="12"/>
        <v>22</v>
      </c>
      <c r="P16" s="77">
        <f t="shared" si="12"/>
        <v>22</v>
      </c>
      <c r="Q16" s="77">
        <f>Q11</f>
        <v>22</v>
      </c>
      <c r="R16" s="77">
        <f>R11</f>
        <v>22</v>
      </c>
      <c r="S16" s="77">
        <f t="shared" si="12"/>
        <v>22</v>
      </c>
      <c r="T16" s="77">
        <f t="shared" si="12"/>
        <v>22</v>
      </c>
      <c r="U16" s="77">
        <f t="shared" si="12"/>
        <v>22</v>
      </c>
      <c r="V16" s="78">
        <f t="shared" si="2"/>
        <v>315</v>
      </c>
      <c r="W16" s="137"/>
      <c r="X16" s="33" t="s">
        <v>25</v>
      </c>
      <c r="Y16" s="34">
        <f t="shared" si="6"/>
        <v>28980</v>
      </c>
      <c r="Z16" s="35">
        <f t="shared" si="7"/>
        <v>201250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466875</v>
      </c>
      <c r="G17" s="83">
        <f>SUM(G9:G13)</f>
        <v>250000</v>
      </c>
      <c r="H17" s="84">
        <f t="shared" ref="H17:U17" si="13">SUM(H9:H16)</f>
        <v>171</v>
      </c>
      <c r="I17" s="84">
        <f t="shared" si="13"/>
        <v>171</v>
      </c>
      <c r="J17" s="84">
        <f t="shared" si="13"/>
        <v>171</v>
      </c>
      <c r="K17" s="84">
        <f t="shared" si="13"/>
        <v>171</v>
      </c>
      <c r="L17" s="84">
        <f t="shared" si="13"/>
        <v>171</v>
      </c>
      <c r="M17" s="84">
        <f t="shared" si="13"/>
        <v>171</v>
      </c>
      <c r="N17" s="84">
        <f t="shared" si="13"/>
        <v>171</v>
      </c>
      <c r="O17" s="84">
        <f t="shared" si="13"/>
        <v>165</v>
      </c>
      <c r="P17" s="84">
        <f t="shared" si="13"/>
        <v>164</v>
      </c>
      <c r="Q17" s="84">
        <f t="shared" si="13"/>
        <v>164</v>
      </c>
      <c r="R17" s="84">
        <f t="shared" si="13"/>
        <v>164</v>
      </c>
      <c r="S17" s="84">
        <f t="shared" si="13"/>
        <v>164</v>
      </c>
      <c r="T17" s="84">
        <f t="shared" si="13"/>
        <v>164</v>
      </c>
      <c r="U17" s="84">
        <f t="shared" si="13"/>
        <v>164</v>
      </c>
      <c r="V17" s="85">
        <f>SUM(V7:V16)</f>
        <v>2346</v>
      </c>
      <c r="W17" s="138">
        <f>SUM(W9:W16)</f>
        <v>250000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12500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262500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G9:G16"/>
    <mergeCell ref="A17:B17"/>
    <mergeCell ref="A29:C29"/>
    <mergeCell ref="I29:K29"/>
    <mergeCell ref="L29:O29"/>
    <mergeCell ref="A30:C30"/>
    <mergeCell ref="I30:N30"/>
    <mergeCell ref="A9:A10"/>
    <mergeCell ref="E9:E10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FB4-833B-4582-8FDB-7ACB00EBABE9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H11" sqref="H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8" width="0" style="31" hidden="1" customWidth="1"/>
    <col min="29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62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0.85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1.5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15秒</v>
      </c>
      <c r="F9" s="56">
        <f>300000/420*V9*W6</f>
        <v>119000</v>
      </c>
      <c r="G9" s="154">
        <v>250000</v>
      </c>
      <c r="H9" s="57">
        <v>14</v>
      </c>
      <c r="I9" s="58">
        <f t="shared" ref="I9:U11" si="1">H9</f>
        <v>14</v>
      </c>
      <c r="J9" s="58">
        <f>I9</f>
        <v>14</v>
      </c>
      <c r="K9" s="58">
        <f t="shared" si="1"/>
        <v>14</v>
      </c>
      <c r="L9" s="58">
        <f>K9</f>
        <v>14</v>
      </c>
      <c r="M9" s="58">
        <f t="shared" si="1"/>
        <v>14</v>
      </c>
      <c r="N9" s="58">
        <f>M9</f>
        <v>14</v>
      </c>
      <c r="O9" s="58">
        <f>N9</f>
        <v>14</v>
      </c>
      <c r="P9" s="58">
        <f>O9</f>
        <v>14</v>
      </c>
      <c r="Q9" s="58">
        <f>P9</f>
        <v>14</v>
      </c>
      <c r="R9" s="58">
        <f>Q9</f>
        <v>14</v>
      </c>
      <c r="S9" s="58">
        <f>P9</f>
        <v>14</v>
      </c>
      <c r="T9" s="58">
        <f t="shared" si="1"/>
        <v>14</v>
      </c>
      <c r="U9" s="58">
        <f t="shared" si="1"/>
        <v>14</v>
      </c>
      <c r="V9" s="59">
        <f t="shared" ref="V9:V16" si="2">SUM(H9:U9)</f>
        <v>196</v>
      </c>
      <c r="W9" s="137">
        <f>250000/420*W6*V9</f>
        <v>99166.666666666657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24</v>
      </c>
      <c r="I10" s="64">
        <f>H10</f>
        <v>24</v>
      </c>
      <c r="J10" s="64">
        <f>I10</f>
        <v>24</v>
      </c>
      <c r="K10" s="64">
        <f t="shared" si="1"/>
        <v>24</v>
      </c>
      <c r="L10" s="64">
        <f t="shared" si="1"/>
        <v>24</v>
      </c>
      <c r="M10" s="64">
        <f t="shared" si="1"/>
        <v>24</v>
      </c>
      <c r="N10" s="64">
        <f>M10</f>
        <v>24</v>
      </c>
      <c r="O10" s="64">
        <f t="shared" si="1"/>
        <v>24</v>
      </c>
      <c r="P10" s="64">
        <f>O10</f>
        <v>24</v>
      </c>
      <c r="Q10" s="64">
        <f t="shared" ref="P10:R11" si="3">P10</f>
        <v>24</v>
      </c>
      <c r="R10" s="64">
        <f>Q10</f>
        <v>24</v>
      </c>
      <c r="S10" s="64">
        <f>R10</f>
        <v>24</v>
      </c>
      <c r="T10" s="64">
        <f t="shared" si="1"/>
        <v>24</v>
      </c>
      <c r="U10" s="64">
        <f>T10</f>
        <v>24</v>
      </c>
      <c r="V10" s="65">
        <f t="shared" si="2"/>
        <v>336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15秒</v>
      </c>
      <c r="F11" s="68">
        <f>150000/1008*V11*W7</f>
        <v>93749.999999999985</v>
      </c>
      <c r="G11" s="155"/>
      <c r="H11" s="69">
        <v>30</v>
      </c>
      <c r="I11" s="70">
        <f>H11</f>
        <v>30</v>
      </c>
      <c r="J11" s="70">
        <f t="shared" si="1"/>
        <v>30</v>
      </c>
      <c r="K11" s="70">
        <f t="shared" si="1"/>
        <v>30</v>
      </c>
      <c r="L11" s="70">
        <f t="shared" si="1"/>
        <v>30</v>
      </c>
      <c r="M11" s="70">
        <f t="shared" si="1"/>
        <v>30</v>
      </c>
      <c r="N11" s="70">
        <f t="shared" si="1"/>
        <v>30</v>
      </c>
      <c r="O11" s="70">
        <f t="shared" si="1"/>
        <v>30</v>
      </c>
      <c r="P11" s="70">
        <f t="shared" si="3"/>
        <v>30</v>
      </c>
      <c r="Q11" s="70">
        <f t="shared" si="3"/>
        <v>30</v>
      </c>
      <c r="R11" s="70">
        <f t="shared" si="3"/>
        <v>30</v>
      </c>
      <c r="S11" s="70">
        <f>R11</f>
        <v>30</v>
      </c>
      <c r="T11" s="70">
        <f t="shared" si="1"/>
        <v>30</v>
      </c>
      <c r="U11" s="70">
        <f t="shared" si="1"/>
        <v>30</v>
      </c>
      <c r="V11" s="71">
        <f t="shared" si="2"/>
        <v>420</v>
      </c>
      <c r="W11" s="137">
        <f>120000/504*W7*V11</f>
        <v>150000</v>
      </c>
      <c r="X11" s="33" t="s">
        <v>25</v>
      </c>
      <c r="Y11" s="34">
        <f t="shared" ref="Y11:Y16" si="4">V11*C11</f>
        <v>507780</v>
      </c>
      <c r="Z11" s="35">
        <f t="shared" ref="Z11:Z16" si="5">1000*(C11/24/6)*V11</f>
        <v>3526250.0000000005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75000</v>
      </c>
      <c r="G12" s="155"/>
      <c r="H12" s="63">
        <f>H11</f>
        <v>30</v>
      </c>
      <c r="I12" s="64">
        <f>I11</f>
        <v>30</v>
      </c>
      <c r="J12" s="64">
        <f t="shared" ref="J12:U12" si="6">J11</f>
        <v>30</v>
      </c>
      <c r="K12" s="64">
        <f t="shared" si="6"/>
        <v>30</v>
      </c>
      <c r="L12" s="64">
        <f t="shared" si="6"/>
        <v>30</v>
      </c>
      <c r="M12" s="64">
        <f t="shared" si="6"/>
        <v>30</v>
      </c>
      <c r="N12" s="64">
        <f t="shared" si="6"/>
        <v>30</v>
      </c>
      <c r="O12" s="64">
        <f t="shared" si="6"/>
        <v>30</v>
      </c>
      <c r="P12" s="64">
        <f t="shared" si="6"/>
        <v>30</v>
      </c>
      <c r="Q12" s="64">
        <f>Q11</f>
        <v>30</v>
      </c>
      <c r="R12" s="64">
        <f>R11</f>
        <v>30</v>
      </c>
      <c r="S12" s="64">
        <f t="shared" si="6"/>
        <v>30</v>
      </c>
      <c r="T12" s="64">
        <f t="shared" si="6"/>
        <v>30</v>
      </c>
      <c r="U12" s="64">
        <f t="shared" si="6"/>
        <v>30</v>
      </c>
      <c r="V12" s="65">
        <f t="shared" si="2"/>
        <v>420</v>
      </c>
      <c r="W12" s="137"/>
      <c r="X12" s="33" t="s">
        <v>25</v>
      </c>
      <c r="Y12" s="34">
        <f t="shared" si="4"/>
        <v>277200</v>
      </c>
      <c r="Z12" s="35">
        <f t="shared" si="5"/>
        <v>1924999.9999999998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56250</v>
      </c>
      <c r="G13" s="155"/>
      <c r="H13" s="63">
        <f>H11</f>
        <v>30</v>
      </c>
      <c r="I13" s="64">
        <f>I11</f>
        <v>30</v>
      </c>
      <c r="J13" s="64">
        <f t="shared" ref="J13:U13" si="7">J11</f>
        <v>30</v>
      </c>
      <c r="K13" s="64">
        <f t="shared" si="7"/>
        <v>30</v>
      </c>
      <c r="L13" s="64">
        <f t="shared" si="7"/>
        <v>30</v>
      </c>
      <c r="M13" s="64">
        <f t="shared" si="7"/>
        <v>30</v>
      </c>
      <c r="N13" s="64">
        <f t="shared" si="7"/>
        <v>30</v>
      </c>
      <c r="O13" s="64">
        <f t="shared" si="7"/>
        <v>30</v>
      </c>
      <c r="P13" s="64">
        <f t="shared" si="7"/>
        <v>30</v>
      </c>
      <c r="Q13" s="64">
        <f>Q11</f>
        <v>30</v>
      </c>
      <c r="R13" s="64">
        <f>R11</f>
        <v>30</v>
      </c>
      <c r="S13" s="64">
        <f t="shared" si="7"/>
        <v>30</v>
      </c>
      <c r="T13" s="64">
        <f t="shared" si="7"/>
        <v>30</v>
      </c>
      <c r="U13" s="64">
        <f t="shared" si="7"/>
        <v>30</v>
      </c>
      <c r="V13" s="65">
        <f t="shared" si="2"/>
        <v>420</v>
      </c>
      <c r="W13" s="137"/>
      <c r="X13" s="33" t="s">
        <v>25</v>
      </c>
      <c r="Y13" s="34">
        <f t="shared" si="4"/>
        <v>243180</v>
      </c>
      <c r="Z13" s="35">
        <f t="shared" si="5"/>
        <v>1688749.9999999998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46874.999999999993</v>
      </c>
      <c r="G14" s="155"/>
      <c r="H14" s="63">
        <f t="shared" ref="H14:U15" si="8">H11</f>
        <v>30</v>
      </c>
      <c r="I14" s="64">
        <f t="shared" si="8"/>
        <v>30</v>
      </c>
      <c r="J14" s="64">
        <f t="shared" si="8"/>
        <v>30</v>
      </c>
      <c r="K14" s="64">
        <f t="shared" si="8"/>
        <v>30</v>
      </c>
      <c r="L14" s="64">
        <f t="shared" si="8"/>
        <v>30</v>
      </c>
      <c r="M14" s="64">
        <f t="shared" si="8"/>
        <v>30</v>
      </c>
      <c r="N14" s="64">
        <f t="shared" si="8"/>
        <v>30</v>
      </c>
      <c r="O14" s="64">
        <f t="shared" si="8"/>
        <v>30</v>
      </c>
      <c r="P14" s="64">
        <f t="shared" si="8"/>
        <v>30</v>
      </c>
      <c r="Q14" s="64">
        <f>Q11</f>
        <v>30</v>
      </c>
      <c r="R14" s="64">
        <f>R11</f>
        <v>30</v>
      </c>
      <c r="S14" s="64">
        <f t="shared" si="8"/>
        <v>30</v>
      </c>
      <c r="T14" s="64">
        <f t="shared" si="8"/>
        <v>30</v>
      </c>
      <c r="U14" s="64">
        <f t="shared" si="8"/>
        <v>30</v>
      </c>
      <c r="V14" s="65">
        <f t="shared" si="2"/>
        <v>420</v>
      </c>
      <c r="W14" s="137"/>
      <c r="X14" s="33" t="s">
        <v>25</v>
      </c>
      <c r="Y14" s="34">
        <f t="shared" si="4"/>
        <v>159600</v>
      </c>
      <c r="Z14" s="35">
        <f t="shared" si="5"/>
        <v>1108333.3333333333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46874.999999999993</v>
      </c>
      <c r="G15" s="155"/>
      <c r="H15" s="63">
        <f t="shared" si="8"/>
        <v>30</v>
      </c>
      <c r="I15" s="64">
        <f t="shared" si="8"/>
        <v>30</v>
      </c>
      <c r="J15" s="64">
        <f t="shared" si="8"/>
        <v>30</v>
      </c>
      <c r="K15" s="64">
        <f t="shared" si="8"/>
        <v>30</v>
      </c>
      <c r="L15" s="64">
        <f t="shared" si="8"/>
        <v>30</v>
      </c>
      <c r="M15" s="64">
        <f t="shared" si="8"/>
        <v>30</v>
      </c>
      <c r="N15" s="64">
        <f t="shared" si="8"/>
        <v>30</v>
      </c>
      <c r="O15" s="64">
        <f t="shared" si="8"/>
        <v>30</v>
      </c>
      <c r="P15" s="64">
        <f t="shared" si="8"/>
        <v>30</v>
      </c>
      <c r="Q15" s="64">
        <f>Q11</f>
        <v>30</v>
      </c>
      <c r="R15" s="64">
        <f>R11</f>
        <v>30</v>
      </c>
      <c r="S15" s="64">
        <f t="shared" si="8"/>
        <v>30</v>
      </c>
      <c r="T15" s="64">
        <f t="shared" si="8"/>
        <v>30</v>
      </c>
      <c r="U15" s="64">
        <f t="shared" si="8"/>
        <v>30</v>
      </c>
      <c r="V15" s="65">
        <f t="shared" si="2"/>
        <v>420</v>
      </c>
      <c r="W15" s="137"/>
      <c r="X15" s="33" t="s">
        <v>25</v>
      </c>
      <c r="Y15" s="34">
        <f t="shared" si="4"/>
        <v>179760</v>
      </c>
      <c r="Z15" s="35">
        <f t="shared" si="5"/>
        <v>1248333.333333333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28125</v>
      </c>
      <c r="G16" s="156"/>
      <c r="H16" s="76">
        <f>H11</f>
        <v>30</v>
      </c>
      <c r="I16" s="77">
        <f>I11</f>
        <v>30</v>
      </c>
      <c r="J16" s="77">
        <f t="shared" ref="J16:U16" si="9">J11</f>
        <v>30</v>
      </c>
      <c r="K16" s="77">
        <f t="shared" si="9"/>
        <v>30</v>
      </c>
      <c r="L16" s="77">
        <f t="shared" si="9"/>
        <v>30</v>
      </c>
      <c r="M16" s="77">
        <f t="shared" si="9"/>
        <v>30</v>
      </c>
      <c r="N16" s="77">
        <f t="shared" si="9"/>
        <v>30</v>
      </c>
      <c r="O16" s="77">
        <f t="shared" si="9"/>
        <v>30</v>
      </c>
      <c r="P16" s="77">
        <f t="shared" si="9"/>
        <v>30</v>
      </c>
      <c r="Q16" s="77">
        <f>Q11</f>
        <v>30</v>
      </c>
      <c r="R16" s="77">
        <f>R11</f>
        <v>30</v>
      </c>
      <c r="S16" s="77">
        <f t="shared" si="9"/>
        <v>30</v>
      </c>
      <c r="T16" s="77">
        <f t="shared" si="9"/>
        <v>30</v>
      </c>
      <c r="U16" s="77">
        <f t="shared" si="9"/>
        <v>30</v>
      </c>
      <c r="V16" s="78">
        <f t="shared" si="2"/>
        <v>420</v>
      </c>
      <c r="W16" s="137"/>
      <c r="X16" s="33" t="s">
        <v>25</v>
      </c>
      <c r="Y16" s="34">
        <f t="shared" si="4"/>
        <v>38640</v>
      </c>
      <c r="Z16" s="35">
        <f t="shared" si="5"/>
        <v>268333.33333333337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465875</v>
      </c>
      <c r="G17" s="83">
        <f>SUM(G9:G13)</f>
        <v>250000</v>
      </c>
      <c r="H17" s="84">
        <f t="shared" ref="H17:U17" si="10">SUM(H9:H16)</f>
        <v>218</v>
      </c>
      <c r="I17" s="84">
        <f t="shared" si="10"/>
        <v>218</v>
      </c>
      <c r="J17" s="84">
        <f t="shared" si="10"/>
        <v>218</v>
      </c>
      <c r="K17" s="84">
        <f t="shared" si="10"/>
        <v>218</v>
      </c>
      <c r="L17" s="84">
        <f t="shared" si="10"/>
        <v>218</v>
      </c>
      <c r="M17" s="84">
        <f t="shared" si="10"/>
        <v>218</v>
      </c>
      <c r="N17" s="84">
        <f t="shared" si="10"/>
        <v>218</v>
      </c>
      <c r="O17" s="84">
        <f t="shared" si="10"/>
        <v>218</v>
      </c>
      <c r="P17" s="84">
        <f t="shared" si="10"/>
        <v>218</v>
      </c>
      <c r="Q17" s="84">
        <f t="shared" si="10"/>
        <v>218</v>
      </c>
      <c r="R17" s="84">
        <f t="shared" si="10"/>
        <v>218</v>
      </c>
      <c r="S17" s="84">
        <f t="shared" si="10"/>
        <v>218</v>
      </c>
      <c r="T17" s="84">
        <f t="shared" si="10"/>
        <v>218</v>
      </c>
      <c r="U17" s="84">
        <f t="shared" si="10"/>
        <v>218</v>
      </c>
      <c r="V17" s="85">
        <f>SUM(V7:V16)</f>
        <v>3052</v>
      </c>
      <c r="W17" s="138">
        <f>SUM(W9:W16)</f>
        <v>249166.66666666666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12500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262500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3881-FBCA-4AC5-8790-095AEE4F1B51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O11" sqref="O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61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0.65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1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10秒</v>
      </c>
      <c r="F9" s="56">
        <f>300000/420*V9*W6</f>
        <v>117000</v>
      </c>
      <c r="G9" s="154">
        <v>250000</v>
      </c>
      <c r="H9" s="57">
        <v>18</v>
      </c>
      <c r="I9" s="58">
        <f t="shared" ref="I9:U11" si="1">H9</f>
        <v>18</v>
      </c>
      <c r="J9" s="58">
        <f>I9</f>
        <v>18</v>
      </c>
      <c r="K9" s="58">
        <f t="shared" si="1"/>
        <v>18</v>
      </c>
      <c r="L9" s="58">
        <f>K9</f>
        <v>18</v>
      </c>
      <c r="M9" s="58">
        <f t="shared" si="1"/>
        <v>18</v>
      </c>
      <c r="N9" s="58">
        <f>M9</f>
        <v>18</v>
      </c>
      <c r="O9" s="58">
        <f>N9</f>
        <v>18</v>
      </c>
      <c r="P9" s="58">
        <f>O9</f>
        <v>18</v>
      </c>
      <c r="Q9" s="58">
        <f>P9</f>
        <v>18</v>
      </c>
      <c r="R9" s="58">
        <f>Q9</f>
        <v>18</v>
      </c>
      <c r="S9" s="58">
        <f>P9</f>
        <v>18</v>
      </c>
      <c r="T9" s="58">
        <f t="shared" si="1"/>
        <v>18</v>
      </c>
      <c r="U9" s="58">
        <f t="shared" si="1"/>
        <v>18</v>
      </c>
      <c r="V9" s="59">
        <f t="shared" ref="V9:V16" si="2">SUM(H9:U9)</f>
        <v>252</v>
      </c>
      <c r="W9" s="137">
        <f>250000/420*W6*V9</f>
        <v>97499.999999999985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31</v>
      </c>
      <c r="I10" s="64">
        <f>H10</f>
        <v>31</v>
      </c>
      <c r="J10" s="64">
        <f t="shared" si="1"/>
        <v>31</v>
      </c>
      <c r="K10" s="64">
        <f t="shared" si="1"/>
        <v>31</v>
      </c>
      <c r="L10" s="64">
        <f t="shared" si="1"/>
        <v>31</v>
      </c>
      <c r="M10" s="64">
        <f t="shared" si="1"/>
        <v>31</v>
      </c>
      <c r="N10" s="64">
        <f>M10</f>
        <v>31</v>
      </c>
      <c r="O10" s="64">
        <f t="shared" si="1"/>
        <v>31</v>
      </c>
      <c r="P10" s="64">
        <f t="shared" ref="P10:R11" si="3">O10</f>
        <v>31</v>
      </c>
      <c r="Q10" s="64">
        <f t="shared" si="3"/>
        <v>31</v>
      </c>
      <c r="R10" s="64">
        <f t="shared" si="3"/>
        <v>31</v>
      </c>
      <c r="S10" s="64">
        <f t="shared" ref="S10" si="4">P10</f>
        <v>31</v>
      </c>
      <c r="T10" s="64">
        <v>30</v>
      </c>
      <c r="U10" s="64">
        <f>T10</f>
        <v>30</v>
      </c>
      <c r="V10" s="65">
        <f t="shared" si="2"/>
        <v>432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10秒</v>
      </c>
      <c r="F11" s="68">
        <f>150000/1008*V11*W7</f>
        <v>94791.666666666657</v>
      </c>
      <c r="G11" s="155"/>
      <c r="H11" s="69">
        <v>46</v>
      </c>
      <c r="I11" s="70">
        <f>H11</f>
        <v>46</v>
      </c>
      <c r="J11" s="70">
        <f t="shared" si="1"/>
        <v>46</v>
      </c>
      <c r="K11" s="70">
        <f t="shared" si="1"/>
        <v>46</v>
      </c>
      <c r="L11" s="70">
        <f t="shared" si="1"/>
        <v>46</v>
      </c>
      <c r="M11" s="70">
        <f t="shared" si="1"/>
        <v>46</v>
      </c>
      <c r="N11" s="70">
        <f t="shared" si="1"/>
        <v>46</v>
      </c>
      <c r="O11" s="70">
        <v>45</v>
      </c>
      <c r="P11" s="70">
        <f t="shared" si="3"/>
        <v>45</v>
      </c>
      <c r="Q11" s="70">
        <f t="shared" si="3"/>
        <v>45</v>
      </c>
      <c r="R11" s="70">
        <f t="shared" si="3"/>
        <v>45</v>
      </c>
      <c r="S11" s="70">
        <f>R11</f>
        <v>45</v>
      </c>
      <c r="T11" s="70">
        <f t="shared" si="1"/>
        <v>45</v>
      </c>
      <c r="U11" s="70">
        <f t="shared" si="1"/>
        <v>45</v>
      </c>
      <c r="V11" s="71">
        <f t="shared" si="2"/>
        <v>637</v>
      </c>
      <c r="W11" s="137">
        <f>120000/504*W7*V11</f>
        <v>151666.66666666666</v>
      </c>
      <c r="X11" s="33" t="s">
        <v>25</v>
      </c>
      <c r="Y11" s="34">
        <f t="shared" ref="Y11:Y16" si="5">V11*C11</f>
        <v>770133</v>
      </c>
      <c r="Z11" s="35">
        <f t="shared" ref="Z11:Z16" si="6">1000*(C11/24/6)*V11</f>
        <v>5348145.833333334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75833.333333333328</v>
      </c>
      <c r="G12" s="155"/>
      <c r="H12" s="63">
        <f>H11</f>
        <v>46</v>
      </c>
      <c r="I12" s="64">
        <f>I11</f>
        <v>46</v>
      </c>
      <c r="J12" s="64">
        <f t="shared" ref="J12:U12" si="7">J11</f>
        <v>46</v>
      </c>
      <c r="K12" s="64">
        <f t="shared" si="7"/>
        <v>46</v>
      </c>
      <c r="L12" s="64">
        <f t="shared" si="7"/>
        <v>46</v>
      </c>
      <c r="M12" s="64">
        <f t="shared" si="7"/>
        <v>46</v>
      </c>
      <c r="N12" s="64">
        <f t="shared" si="7"/>
        <v>46</v>
      </c>
      <c r="O12" s="64">
        <f t="shared" si="7"/>
        <v>45</v>
      </c>
      <c r="P12" s="64">
        <f t="shared" si="7"/>
        <v>45</v>
      </c>
      <c r="Q12" s="64">
        <f>Q11</f>
        <v>45</v>
      </c>
      <c r="R12" s="64">
        <f>R11</f>
        <v>45</v>
      </c>
      <c r="S12" s="64">
        <f t="shared" si="7"/>
        <v>45</v>
      </c>
      <c r="T12" s="64">
        <f t="shared" si="7"/>
        <v>45</v>
      </c>
      <c r="U12" s="64">
        <f t="shared" si="7"/>
        <v>45</v>
      </c>
      <c r="V12" s="65">
        <f t="shared" si="2"/>
        <v>637</v>
      </c>
      <c r="W12" s="137"/>
      <c r="X12" s="33" t="s">
        <v>25</v>
      </c>
      <c r="Y12" s="34">
        <f t="shared" si="5"/>
        <v>420420</v>
      </c>
      <c r="Z12" s="35">
        <f t="shared" si="6"/>
        <v>2919583.333333333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56875.000000000007</v>
      </c>
      <c r="G13" s="155"/>
      <c r="H13" s="63">
        <f>H11</f>
        <v>46</v>
      </c>
      <c r="I13" s="64">
        <f>I11</f>
        <v>46</v>
      </c>
      <c r="J13" s="64">
        <f t="shared" ref="J13:U13" si="8">J11</f>
        <v>46</v>
      </c>
      <c r="K13" s="64">
        <f t="shared" si="8"/>
        <v>46</v>
      </c>
      <c r="L13" s="64">
        <f t="shared" si="8"/>
        <v>46</v>
      </c>
      <c r="M13" s="64">
        <f t="shared" si="8"/>
        <v>46</v>
      </c>
      <c r="N13" s="64">
        <f t="shared" si="8"/>
        <v>46</v>
      </c>
      <c r="O13" s="64">
        <f t="shared" si="8"/>
        <v>45</v>
      </c>
      <c r="P13" s="64">
        <f t="shared" si="8"/>
        <v>45</v>
      </c>
      <c r="Q13" s="64">
        <f>Q11</f>
        <v>45</v>
      </c>
      <c r="R13" s="64">
        <f>R11</f>
        <v>45</v>
      </c>
      <c r="S13" s="64">
        <f t="shared" si="8"/>
        <v>45</v>
      </c>
      <c r="T13" s="64">
        <f t="shared" si="8"/>
        <v>45</v>
      </c>
      <c r="U13" s="64">
        <f t="shared" si="8"/>
        <v>45</v>
      </c>
      <c r="V13" s="65">
        <f t="shared" si="2"/>
        <v>637</v>
      </c>
      <c r="W13" s="137"/>
      <c r="X13" s="33" t="s">
        <v>25</v>
      </c>
      <c r="Y13" s="34">
        <f t="shared" si="5"/>
        <v>368823</v>
      </c>
      <c r="Z13" s="35">
        <f t="shared" si="6"/>
        <v>2561270.833333333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47395.833333333328</v>
      </c>
      <c r="G14" s="155"/>
      <c r="H14" s="63">
        <f t="shared" ref="H14:U15" si="9">H11</f>
        <v>46</v>
      </c>
      <c r="I14" s="64">
        <f t="shared" si="9"/>
        <v>46</v>
      </c>
      <c r="J14" s="64">
        <f t="shared" si="9"/>
        <v>46</v>
      </c>
      <c r="K14" s="64">
        <f t="shared" si="9"/>
        <v>46</v>
      </c>
      <c r="L14" s="64">
        <f t="shared" si="9"/>
        <v>46</v>
      </c>
      <c r="M14" s="64">
        <f t="shared" si="9"/>
        <v>46</v>
      </c>
      <c r="N14" s="64">
        <f t="shared" si="9"/>
        <v>46</v>
      </c>
      <c r="O14" s="64">
        <f t="shared" si="9"/>
        <v>45</v>
      </c>
      <c r="P14" s="64">
        <f t="shared" si="9"/>
        <v>45</v>
      </c>
      <c r="Q14" s="64">
        <f>Q11</f>
        <v>45</v>
      </c>
      <c r="R14" s="64">
        <f>R11</f>
        <v>45</v>
      </c>
      <c r="S14" s="64">
        <f t="shared" si="9"/>
        <v>45</v>
      </c>
      <c r="T14" s="64">
        <f t="shared" si="9"/>
        <v>45</v>
      </c>
      <c r="U14" s="64">
        <f t="shared" si="9"/>
        <v>45</v>
      </c>
      <c r="V14" s="65">
        <f t="shared" si="2"/>
        <v>637</v>
      </c>
      <c r="W14" s="137"/>
      <c r="X14" s="33" t="s">
        <v>25</v>
      </c>
      <c r="Y14" s="34">
        <f t="shared" si="5"/>
        <v>242060</v>
      </c>
      <c r="Z14" s="35">
        <f t="shared" si="6"/>
        <v>1680972.222222222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47395.833333333328</v>
      </c>
      <c r="G15" s="155"/>
      <c r="H15" s="63">
        <f t="shared" si="9"/>
        <v>46</v>
      </c>
      <c r="I15" s="64">
        <f t="shared" si="9"/>
        <v>46</v>
      </c>
      <c r="J15" s="64">
        <f t="shared" si="9"/>
        <v>46</v>
      </c>
      <c r="K15" s="64">
        <f t="shared" si="9"/>
        <v>46</v>
      </c>
      <c r="L15" s="64">
        <f t="shared" si="9"/>
        <v>46</v>
      </c>
      <c r="M15" s="64">
        <f t="shared" si="9"/>
        <v>46</v>
      </c>
      <c r="N15" s="64">
        <f t="shared" si="9"/>
        <v>46</v>
      </c>
      <c r="O15" s="64">
        <f t="shared" si="9"/>
        <v>45</v>
      </c>
      <c r="P15" s="64">
        <f t="shared" si="9"/>
        <v>45</v>
      </c>
      <c r="Q15" s="64">
        <f>Q11</f>
        <v>45</v>
      </c>
      <c r="R15" s="64">
        <f>R11</f>
        <v>45</v>
      </c>
      <c r="S15" s="64">
        <f t="shared" si="9"/>
        <v>45</v>
      </c>
      <c r="T15" s="64">
        <f t="shared" si="9"/>
        <v>45</v>
      </c>
      <c r="U15" s="64">
        <f t="shared" si="9"/>
        <v>45</v>
      </c>
      <c r="V15" s="65">
        <f t="shared" si="2"/>
        <v>637</v>
      </c>
      <c r="W15" s="137"/>
      <c r="X15" s="33" t="s">
        <v>25</v>
      </c>
      <c r="Y15" s="34">
        <f t="shared" si="5"/>
        <v>272636</v>
      </c>
      <c r="Z15" s="35">
        <f t="shared" si="6"/>
        <v>1893305.5555555553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28437.500000000004</v>
      </c>
      <c r="G16" s="156"/>
      <c r="H16" s="76">
        <f>H11</f>
        <v>46</v>
      </c>
      <c r="I16" s="77">
        <f>I11</f>
        <v>46</v>
      </c>
      <c r="J16" s="77">
        <f t="shared" ref="J16:U16" si="10">J11</f>
        <v>46</v>
      </c>
      <c r="K16" s="77">
        <f t="shared" si="10"/>
        <v>46</v>
      </c>
      <c r="L16" s="77">
        <f t="shared" si="10"/>
        <v>46</v>
      </c>
      <c r="M16" s="77">
        <f t="shared" si="10"/>
        <v>46</v>
      </c>
      <c r="N16" s="77">
        <f t="shared" si="10"/>
        <v>46</v>
      </c>
      <c r="O16" s="77">
        <f t="shared" si="10"/>
        <v>45</v>
      </c>
      <c r="P16" s="77">
        <f t="shared" si="10"/>
        <v>45</v>
      </c>
      <c r="Q16" s="77">
        <f>Q11</f>
        <v>45</v>
      </c>
      <c r="R16" s="77">
        <f>R11</f>
        <v>45</v>
      </c>
      <c r="S16" s="77">
        <f t="shared" si="10"/>
        <v>45</v>
      </c>
      <c r="T16" s="77">
        <f t="shared" si="10"/>
        <v>45</v>
      </c>
      <c r="U16" s="77">
        <f t="shared" si="10"/>
        <v>45</v>
      </c>
      <c r="V16" s="78">
        <f t="shared" si="2"/>
        <v>637</v>
      </c>
      <c r="W16" s="137"/>
      <c r="X16" s="33" t="s">
        <v>25</v>
      </c>
      <c r="Y16" s="34">
        <f t="shared" si="5"/>
        <v>58604</v>
      </c>
      <c r="Z16" s="35">
        <f t="shared" si="6"/>
        <v>406972.22222222225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467729.16666666663</v>
      </c>
      <c r="G17" s="83">
        <f>SUM(G9:G13)</f>
        <v>250000</v>
      </c>
      <c r="H17" s="84">
        <f t="shared" ref="H17:U17" si="11">SUM(H9:H16)</f>
        <v>325</v>
      </c>
      <c r="I17" s="84">
        <f t="shared" si="11"/>
        <v>325</v>
      </c>
      <c r="J17" s="84">
        <f t="shared" si="11"/>
        <v>325</v>
      </c>
      <c r="K17" s="84">
        <f t="shared" si="11"/>
        <v>325</v>
      </c>
      <c r="L17" s="84">
        <f t="shared" si="11"/>
        <v>325</v>
      </c>
      <c r="M17" s="84">
        <f t="shared" si="11"/>
        <v>325</v>
      </c>
      <c r="N17" s="84">
        <f t="shared" si="11"/>
        <v>325</v>
      </c>
      <c r="O17" s="84">
        <f t="shared" si="11"/>
        <v>319</v>
      </c>
      <c r="P17" s="84">
        <f t="shared" si="11"/>
        <v>319</v>
      </c>
      <c r="Q17" s="84">
        <f t="shared" si="11"/>
        <v>319</v>
      </c>
      <c r="R17" s="84">
        <f t="shared" si="11"/>
        <v>319</v>
      </c>
      <c r="S17" s="84">
        <f t="shared" si="11"/>
        <v>319</v>
      </c>
      <c r="T17" s="84">
        <f t="shared" si="11"/>
        <v>318</v>
      </c>
      <c r="U17" s="84">
        <f t="shared" si="11"/>
        <v>318</v>
      </c>
      <c r="V17" s="85">
        <f>SUM(V7:V16)</f>
        <v>4506</v>
      </c>
      <c r="W17" s="138">
        <f>SUM(W9:W16)</f>
        <v>249166.66666666663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12500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262500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25萬版-30秒版</vt:lpstr>
      <vt:lpstr>25萬版-20秒版</vt:lpstr>
      <vt:lpstr>25萬版-15秒版</vt:lpstr>
      <vt:lpstr>25萬版-10秒版 </vt:lpstr>
      <vt:lpstr>'25萬版-10秒版 '!Print_Area</vt:lpstr>
      <vt:lpstr>'25萬版-15秒版'!Print_Area</vt:lpstr>
      <vt:lpstr>'25萬版-20秒版'!Print_Area</vt:lpstr>
      <vt:lpstr>'25萬版-30秒版'!Print_Area</vt:lpstr>
      <vt:lpstr>'25萬版-10秒版 '!Print_Titles</vt:lpstr>
      <vt:lpstr>'25萬版-15秒版'!Print_Titles</vt:lpstr>
      <vt:lpstr>'25萬版-20秒版'!Print_Titles</vt:lpstr>
      <vt:lpstr>'25萬版-30秒版'!Print_Titles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2026-09-02T02:49:26Z</dcterms:modified>
</cp:coreProperties>
</file>