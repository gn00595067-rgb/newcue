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29E3D28D-C112-45AE-B1EB-576DF902CC57}" xr6:coauthVersionLast="47" xr6:coauthVersionMax="47" xr10:uidLastSave="{00000000-0000-0000-0000-000000000000}"/>
  <bookViews>
    <workbookView xWindow="-93" yWindow="-93" windowWidth="25786" windowHeight="13866" activeTab="3" xr2:uid="{917EC74D-08D0-400E-AACA-1F5EE105B0A9}"/>
  </bookViews>
  <sheets>
    <sheet name="25萬版-30秒版" sheetId="6" r:id="rId1"/>
    <sheet name="25萬版-20秒版" sheetId="7" r:id="rId2"/>
    <sheet name="25萬版-15秒版" sheetId="8" r:id="rId3"/>
    <sheet name="25萬版-10秒版 " sheetId="9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'25萬版-10秒版 '!$A$8:$V$33</definedName>
    <definedName name="_xlnm._FilterDatabase" localSheetId="2" hidden="1">'25萬版-15秒版'!$A$8:$V$33</definedName>
    <definedName name="_xlnm._FilterDatabase" localSheetId="1" hidden="1">'25萬版-20秒版'!$A$8:$V$33</definedName>
    <definedName name="_xlnm._FilterDatabase" localSheetId="0" hidden="1">'25萬版-30秒版'!$A$8:$V$33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'25萬版-10秒版 '!$A$1:$V$35</definedName>
    <definedName name="_xlnm.Print_Area" localSheetId="2">'25萬版-15秒版'!$A$1:$V$35</definedName>
    <definedName name="_xlnm.Print_Area" localSheetId="1">'25萬版-20秒版'!$A$1:$V$35</definedName>
    <definedName name="_xlnm.Print_Area" localSheetId="0">'25萬版-30秒版'!$A$1:$V$35</definedName>
    <definedName name="_xlnm.Print_Titles" localSheetId="3">'25萬版-10秒版 '!$6:$8</definedName>
    <definedName name="_xlnm.Print_Titles" localSheetId="2">'25萬版-15秒版'!$6:$8</definedName>
    <definedName name="_xlnm.Print_Titles" localSheetId="1">'25萬版-20秒版'!$6:$8</definedName>
    <definedName name="_xlnm.Print_Titles" localSheetId="0">'25萬版-30秒版'!$6:$8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8" l="1"/>
  <c r="W15" i="8"/>
  <c r="W9" i="8"/>
  <c r="O9" i="7"/>
  <c r="L33" i="9"/>
  <c r="G21" i="9"/>
  <c r="H20" i="9"/>
  <c r="H18" i="9"/>
  <c r="H17" i="9"/>
  <c r="H16" i="9"/>
  <c r="I15" i="9"/>
  <c r="J15" i="9" s="1"/>
  <c r="E15" i="9"/>
  <c r="H14" i="9"/>
  <c r="H12" i="9"/>
  <c r="H11" i="9"/>
  <c r="H10" i="9"/>
  <c r="I9" i="9"/>
  <c r="E9" i="9"/>
  <c r="I7" i="9"/>
  <c r="J7" i="9" s="1"/>
  <c r="K7" i="9" s="1"/>
  <c r="L7" i="9" s="1"/>
  <c r="M7" i="9" s="1"/>
  <c r="N7" i="9" s="1"/>
  <c r="O7" i="9" s="1"/>
  <c r="P7" i="9" s="1"/>
  <c r="L33" i="8"/>
  <c r="G21" i="8"/>
  <c r="H20" i="8"/>
  <c r="H18" i="8"/>
  <c r="H17" i="8"/>
  <c r="H16" i="8"/>
  <c r="I15" i="8"/>
  <c r="J15" i="8" s="1"/>
  <c r="E15" i="8"/>
  <c r="H14" i="8"/>
  <c r="H12" i="8"/>
  <c r="H11" i="8"/>
  <c r="H10" i="8"/>
  <c r="H13" i="8" s="1"/>
  <c r="I9" i="8"/>
  <c r="I14" i="8" s="1"/>
  <c r="E9" i="8"/>
  <c r="J7" i="8"/>
  <c r="K7" i="8" s="1"/>
  <c r="L7" i="8" s="1"/>
  <c r="M7" i="8" s="1"/>
  <c r="N7" i="8" s="1"/>
  <c r="O7" i="8" s="1"/>
  <c r="P7" i="8" s="1"/>
  <c r="I7" i="8"/>
  <c r="L33" i="7"/>
  <c r="G23" i="7"/>
  <c r="G21" i="7"/>
  <c r="H20" i="7"/>
  <c r="H18" i="7"/>
  <c r="H17" i="7"/>
  <c r="H16" i="7"/>
  <c r="I15" i="7"/>
  <c r="I20" i="7" s="1"/>
  <c r="E15" i="7"/>
  <c r="H14" i="7"/>
  <c r="H12" i="7"/>
  <c r="H11" i="7"/>
  <c r="H10" i="7"/>
  <c r="H13" i="7" s="1"/>
  <c r="I9" i="7"/>
  <c r="E9" i="7"/>
  <c r="I7" i="7"/>
  <c r="J7" i="7" s="1"/>
  <c r="K7" i="7" s="1"/>
  <c r="L7" i="7" s="1"/>
  <c r="M7" i="7" s="1"/>
  <c r="N7" i="7" s="1"/>
  <c r="O7" i="7" s="1"/>
  <c r="P7" i="7" s="1"/>
  <c r="P15" i="6"/>
  <c r="H14" i="6"/>
  <c r="H12" i="6"/>
  <c r="H11" i="6"/>
  <c r="H10" i="6"/>
  <c r="I9" i="6"/>
  <c r="I11" i="6" s="1"/>
  <c r="E9" i="6"/>
  <c r="G24" i="7" l="1"/>
  <c r="I16" i="9"/>
  <c r="I19" i="9" s="1"/>
  <c r="J20" i="9"/>
  <c r="J18" i="9"/>
  <c r="K15" i="9"/>
  <c r="J17" i="9"/>
  <c r="J16" i="9"/>
  <c r="J19" i="9" s="1"/>
  <c r="I17" i="9"/>
  <c r="I10" i="9"/>
  <c r="I18" i="9"/>
  <c r="I11" i="9"/>
  <c r="H19" i="9"/>
  <c r="J9" i="9"/>
  <c r="I12" i="9"/>
  <c r="H13" i="9"/>
  <c r="H21" i="9" s="1"/>
  <c r="I20" i="9"/>
  <c r="G23" i="9"/>
  <c r="G24" i="9" s="1"/>
  <c r="I14" i="9"/>
  <c r="I17" i="8"/>
  <c r="I20" i="8"/>
  <c r="J20" i="8"/>
  <c r="J18" i="8"/>
  <c r="J16" i="8"/>
  <c r="J19" i="8" s="1"/>
  <c r="J17" i="8"/>
  <c r="K15" i="8"/>
  <c r="I16" i="8"/>
  <c r="I19" i="8" s="1"/>
  <c r="J9" i="8"/>
  <c r="I18" i="8"/>
  <c r="I11" i="8"/>
  <c r="I10" i="8"/>
  <c r="H19" i="8"/>
  <c r="I12" i="8"/>
  <c r="G23" i="8"/>
  <c r="G24" i="8" s="1"/>
  <c r="I17" i="7"/>
  <c r="I18" i="7"/>
  <c r="J15" i="7"/>
  <c r="K15" i="7" s="1"/>
  <c r="I16" i="7"/>
  <c r="I19" i="7" s="1"/>
  <c r="I11" i="7"/>
  <c r="J9" i="7"/>
  <c r="H19" i="7"/>
  <c r="H21" i="7" s="1"/>
  <c r="I10" i="7"/>
  <c r="I12" i="7"/>
  <c r="I14" i="7"/>
  <c r="I12" i="6"/>
  <c r="H13" i="6"/>
  <c r="I14" i="6"/>
  <c r="J9" i="6"/>
  <c r="I10" i="6"/>
  <c r="J14" i="9" l="1"/>
  <c r="J12" i="9"/>
  <c r="J11" i="9"/>
  <c r="J10" i="9"/>
  <c r="J13" i="9" s="1"/>
  <c r="K9" i="9"/>
  <c r="I13" i="9"/>
  <c r="I21" i="9" s="1"/>
  <c r="K20" i="9"/>
  <c r="L15" i="9"/>
  <c r="K18" i="9"/>
  <c r="K17" i="9"/>
  <c r="K16" i="9"/>
  <c r="K20" i="8"/>
  <c r="K18" i="8"/>
  <c r="K17" i="8"/>
  <c r="K16" i="8"/>
  <c r="L15" i="8"/>
  <c r="H21" i="8"/>
  <c r="I13" i="8"/>
  <c r="I21" i="8" s="1"/>
  <c r="J14" i="8"/>
  <c r="J12" i="8"/>
  <c r="J11" i="8"/>
  <c r="J10" i="8"/>
  <c r="K9" i="8"/>
  <c r="J18" i="7"/>
  <c r="J17" i="7"/>
  <c r="J20" i="7"/>
  <c r="J16" i="7"/>
  <c r="J19" i="7" s="1"/>
  <c r="J14" i="7"/>
  <c r="J12" i="7"/>
  <c r="J10" i="7"/>
  <c r="J13" i="7" s="1"/>
  <c r="J11" i="7"/>
  <c r="K9" i="7"/>
  <c r="K20" i="7"/>
  <c r="K17" i="7"/>
  <c r="K18" i="7"/>
  <c r="K16" i="7"/>
  <c r="K19" i="7" s="1"/>
  <c r="L15" i="7"/>
  <c r="I13" i="7"/>
  <c r="I21" i="7"/>
  <c r="I13" i="6"/>
  <c r="J11" i="6"/>
  <c r="J10" i="6"/>
  <c r="J13" i="6" s="1"/>
  <c r="K9" i="6"/>
  <c r="J12" i="6"/>
  <c r="J14" i="6"/>
  <c r="K14" i="9" l="1"/>
  <c r="K12" i="9"/>
  <c r="K11" i="9"/>
  <c r="K10" i="9"/>
  <c r="K13" i="9" s="1"/>
  <c r="L9" i="9"/>
  <c r="L20" i="9"/>
  <c r="L18" i="9"/>
  <c r="L17" i="9"/>
  <c r="L16" i="9"/>
  <c r="L19" i="9" s="1"/>
  <c r="M15" i="9"/>
  <c r="J21" i="9"/>
  <c r="K19" i="9"/>
  <c r="L20" i="8"/>
  <c r="L18" i="8"/>
  <c r="L17" i="8"/>
  <c r="M15" i="8"/>
  <c r="L16" i="8"/>
  <c r="L19" i="8" s="1"/>
  <c r="K14" i="8"/>
  <c r="K12" i="8"/>
  <c r="K11" i="8"/>
  <c r="K10" i="8"/>
  <c r="K13" i="8" s="1"/>
  <c r="L9" i="8"/>
  <c r="J13" i="8"/>
  <c r="J21" i="8" s="1"/>
  <c r="K19" i="8"/>
  <c r="K14" i="7"/>
  <c r="K11" i="7"/>
  <c r="K10" i="7"/>
  <c r="K13" i="7" s="1"/>
  <c r="L9" i="7"/>
  <c r="K12" i="7"/>
  <c r="J21" i="7"/>
  <c r="L20" i="7"/>
  <c r="L18" i="7"/>
  <c r="L17" i="7"/>
  <c r="L16" i="7"/>
  <c r="M15" i="7"/>
  <c r="L9" i="6"/>
  <c r="K10" i="6"/>
  <c r="K13" i="6" s="1"/>
  <c r="K12" i="6"/>
  <c r="K14" i="6"/>
  <c r="K11" i="6"/>
  <c r="M20" i="9" l="1"/>
  <c r="M18" i="9"/>
  <c r="M17" i="9"/>
  <c r="M16" i="9"/>
  <c r="N15" i="9"/>
  <c r="L14" i="9"/>
  <c r="L12" i="9"/>
  <c r="L11" i="9"/>
  <c r="L10" i="9"/>
  <c r="L13" i="9" s="1"/>
  <c r="M9" i="9"/>
  <c r="K21" i="9"/>
  <c r="L14" i="8"/>
  <c r="M9" i="8"/>
  <c r="L10" i="8"/>
  <c r="L13" i="8" s="1"/>
  <c r="L12" i="8"/>
  <c r="L11" i="8"/>
  <c r="K21" i="8"/>
  <c r="M20" i="8"/>
  <c r="M18" i="8"/>
  <c r="M17" i="8"/>
  <c r="M16" i="8"/>
  <c r="N15" i="8"/>
  <c r="L12" i="7"/>
  <c r="L11" i="7"/>
  <c r="L10" i="7"/>
  <c r="M9" i="7"/>
  <c r="L14" i="7"/>
  <c r="K21" i="7"/>
  <c r="M20" i="7"/>
  <c r="M18" i="7"/>
  <c r="N15" i="7"/>
  <c r="M16" i="7"/>
  <c r="M19" i="7" s="1"/>
  <c r="M17" i="7"/>
  <c r="L19" i="7"/>
  <c r="L10" i="6"/>
  <c r="M9" i="6"/>
  <c r="L11" i="6"/>
  <c r="L14" i="6"/>
  <c r="L12" i="6"/>
  <c r="L21" i="9" l="1"/>
  <c r="N20" i="9"/>
  <c r="N18" i="9"/>
  <c r="N17" i="9"/>
  <c r="N16" i="9"/>
  <c r="N19" i="9" s="1"/>
  <c r="O15" i="9"/>
  <c r="M19" i="9"/>
  <c r="M12" i="9"/>
  <c r="M11" i="9"/>
  <c r="M10" i="9"/>
  <c r="M14" i="9"/>
  <c r="N9" i="9"/>
  <c r="N20" i="8"/>
  <c r="N17" i="8"/>
  <c r="N16" i="8"/>
  <c r="N19" i="8" s="1"/>
  <c r="O15" i="8"/>
  <c r="N18" i="8"/>
  <c r="M19" i="8"/>
  <c r="L21" i="8"/>
  <c r="M11" i="8"/>
  <c r="M10" i="8"/>
  <c r="M13" i="8" s="1"/>
  <c r="N9" i="8"/>
  <c r="O9" i="8" s="1"/>
  <c r="M14" i="8"/>
  <c r="M12" i="8"/>
  <c r="O16" i="7"/>
  <c r="O19" i="7" s="1"/>
  <c r="O17" i="7"/>
  <c r="O18" i="7"/>
  <c r="O20" i="7"/>
  <c r="P15" i="7"/>
  <c r="N20" i="7"/>
  <c r="N18" i="7"/>
  <c r="N17" i="7"/>
  <c r="N16" i="7"/>
  <c r="N19" i="7" s="1"/>
  <c r="M12" i="7"/>
  <c r="M11" i="7"/>
  <c r="M10" i="7"/>
  <c r="M13" i="7" s="1"/>
  <c r="N9" i="7"/>
  <c r="M14" i="7"/>
  <c r="L13" i="7"/>
  <c r="L21" i="7" s="1"/>
  <c r="M11" i="6"/>
  <c r="N9" i="6"/>
  <c r="O9" i="6" s="1"/>
  <c r="M10" i="6"/>
  <c r="M13" i="6" s="1"/>
  <c r="M14" i="6"/>
  <c r="M12" i="6"/>
  <c r="L13" i="6"/>
  <c r="M21" i="7" l="1"/>
  <c r="O10" i="6"/>
  <c r="O13" i="6" s="1"/>
  <c r="O12" i="6"/>
  <c r="O11" i="6"/>
  <c r="P9" i="6"/>
  <c r="O14" i="6"/>
  <c r="N12" i="9"/>
  <c r="N11" i="9"/>
  <c r="N10" i="9"/>
  <c r="N13" i="9" s="1"/>
  <c r="O9" i="9"/>
  <c r="N14" i="9"/>
  <c r="M13" i="9"/>
  <c r="M21" i="9" s="1"/>
  <c r="O20" i="9"/>
  <c r="O18" i="9"/>
  <c r="O17" i="9"/>
  <c r="O16" i="9"/>
  <c r="P15" i="9"/>
  <c r="O10" i="8"/>
  <c r="O13" i="8" s="1"/>
  <c r="P9" i="8"/>
  <c r="O12" i="8"/>
  <c r="O11" i="8"/>
  <c r="O14" i="8"/>
  <c r="M21" i="8"/>
  <c r="N12" i="8"/>
  <c r="N10" i="8"/>
  <c r="N14" i="8"/>
  <c r="N11" i="8"/>
  <c r="O20" i="8"/>
  <c r="O17" i="8"/>
  <c r="O16" i="8"/>
  <c r="O19" i="8" s="1"/>
  <c r="O18" i="8"/>
  <c r="P15" i="8"/>
  <c r="Q15" i="7"/>
  <c r="P16" i="7"/>
  <c r="P19" i="7" s="1"/>
  <c r="P18" i="7"/>
  <c r="P17" i="7"/>
  <c r="P20" i="7"/>
  <c r="N12" i="7"/>
  <c r="N11" i="7"/>
  <c r="N14" i="7"/>
  <c r="N10" i="7"/>
  <c r="N10" i="6"/>
  <c r="N14" i="6"/>
  <c r="N11" i="6"/>
  <c r="N12" i="6"/>
  <c r="P14" i="6" l="1"/>
  <c r="Q9" i="6"/>
  <c r="P11" i="6"/>
  <c r="P10" i="6"/>
  <c r="P13" i="6" s="1"/>
  <c r="P12" i="6"/>
  <c r="O19" i="9"/>
  <c r="P18" i="9"/>
  <c r="P17" i="9"/>
  <c r="P16" i="9"/>
  <c r="P19" i="9" s="1"/>
  <c r="Q15" i="9"/>
  <c r="P20" i="9"/>
  <c r="O12" i="9"/>
  <c r="O11" i="9"/>
  <c r="O10" i="9"/>
  <c r="P9" i="9"/>
  <c r="O14" i="9"/>
  <c r="N21" i="9"/>
  <c r="P12" i="8"/>
  <c r="P11" i="8"/>
  <c r="Q9" i="8"/>
  <c r="P14" i="8"/>
  <c r="P10" i="8"/>
  <c r="P13" i="8" s="1"/>
  <c r="O21" i="8"/>
  <c r="P17" i="8"/>
  <c r="P16" i="8"/>
  <c r="P19" i="8" s="1"/>
  <c r="Q15" i="8"/>
  <c r="P18" i="8"/>
  <c r="P20" i="8"/>
  <c r="N13" i="8"/>
  <c r="N21" i="8" s="1"/>
  <c r="Q19" i="7"/>
  <c r="Q18" i="7"/>
  <c r="Q16" i="7"/>
  <c r="R15" i="7"/>
  <c r="Q20" i="7"/>
  <c r="Q17" i="7"/>
  <c r="O12" i="7"/>
  <c r="O11" i="7"/>
  <c r="P9" i="7"/>
  <c r="O10" i="7"/>
  <c r="O13" i="7" s="1"/>
  <c r="O14" i="7"/>
  <c r="N13" i="7"/>
  <c r="N21" i="7" s="1"/>
  <c r="N13" i="6"/>
  <c r="Q11" i="6" l="1"/>
  <c r="R9" i="6"/>
  <c r="Q10" i="6"/>
  <c r="Q13" i="6"/>
  <c r="Q12" i="6"/>
  <c r="Q14" i="6"/>
  <c r="O13" i="9"/>
  <c r="O21" i="9" s="1"/>
  <c r="Q19" i="9"/>
  <c r="Q20" i="9"/>
  <c r="Q18" i="9"/>
  <c r="Q17" i="9"/>
  <c r="Q16" i="9"/>
  <c r="R15" i="9"/>
  <c r="P12" i="9"/>
  <c r="P11" i="9"/>
  <c r="P10" i="9"/>
  <c r="P13" i="9" s="1"/>
  <c r="Q9" i="9"/>
  <c r="P14" i="9"/>
  <c r="Q11" i="8"/>
  <c r="R9" i="8"/>
  <c r="Q10" i="8"/>
  <c r="Q14" i="8"/>
  <c r="Q13" i="8"/>
  <c r="Q12" i="8"/>
  <c r="P21" i="8"/>
  <c r="Q19" i="8"/>
  <c r="Q18" i="8"/>
  <c r="R15" i="8"/>
  <c r="Q16" i="8"/>
  <c r="Q20" i="8"/>
  <c r="Q17" i="8"/>
  <c r="O21" i="7"/>
  <c r="R18" i="7"/>
  <c r="R16" i="7"/>
  <c r="R17" i="7"/>
  <c r="R20" i="7"/>
  <c r="R19" i="7"/>
  <c r="S15" i="7"/>
  <c r="P11" i="7"/>
  <c r="P10" i="7"/>
  <c r="P14" i="7"/>
  <c r="Q9" i="7"/>
  <c r="P12" i="7"/>
  <c r="P21" i="9" l="1"/>
  <c r="R13" i="6"/>
  <c r="S9" i="6"/>
  <c r="R11" i="6"/>
  <c r="R14" i="6"/>
  <c r="R10" i="6"/>
  <c r="R12" i="6"/>
  <c r="R18" i="9"/>
  <c r="R17" i="9"/>
  <c r="R16" i="9"/>
  <c r="S15" i="9"/>
  <c r="R20" i="9"/>
  <c r="R19" i="9"/>
  <c r="Q12" i="9"/>
  <c r="Q11" i="9"/>
  <c r="Q10" i="9"/>
  <c r="R9" i="9"/>
  <c r="Q13" i="9"/>
  <c r="Q14" i="9"/>
  <c r="Q21" i="8"/>
  <c r="R11" i="8"/>
  <c r="R10" i="8"/>
  <c r="S9" i="8"/>
  <c r="R14" i="8"/>
  <c r="R13" i="8"/>
  <c r="R12" i="8"/>
  <c r="R18" i="8"/>
  <c r="S15" i="8"/>
  <c r="R17" i="8"/>
  <c r="R20" i="8"/>
  <c r="R19" i="8"/>
  <c r="R16" i="8"/>
  <c r="S18" i="7"/>
  <c r="S16" i="7"/>
  <c r="S19" i="7" s="1"/>
  <c r="S17" i="7"/>
  <c r="S20" i="7"/>
  <c r="T15" i="7"/>
  <c r="P13" i="7"/>
  <c r="P21" i="7" s="1"/>
  <c r="Q11" i="7"/>
  <c r="Q10" i="7"/>
  <c r="Q13" i="7"/>
  <c r="Q14" i="7"/>
  <c r="R9" i="7"/>
  <c r="Q12" i="7"/>
  <c r="Q21" i="7" l="1"/>
  <c r="S14" i="6"/>
  <c r="T9" i="6"/>
  <c r="S10" i="6"/>
  <c r="S13" i="6" s="1"/>
  <c r="S12" i="6"/>
  <c r="S11" i="6"/>
  <c r="Q21" i="9"/>
  <c r="R11" i="9"/>
  <c r="R10" i="9"/>
  <c r="S9" i="9"/>
  <c r="R14" i="9"/>
  <c r="R12" i="9"/>
  <c r="R13" i="9"/>
  <c r="S18" i="9"/>
  <c r="S17" i="9"/>
  <c r="S16" i="9"/>
  <c r="S19" i="9" s="1"/>
  <c r="T15" i="9"/>
  <c r="S20" i="9"/>
  <c r="S11" i="8"/>
  <c r="S10" i="8"/>
  <c r="S13" i="8" s="1"/>
  <c r="S14" i="8"/>
  <c r="T9" i="8"/>
  <c r="S12" i="8"/>
  <c r="R21" i="8"/>
  <c r="S18" i="8"/>
  <c r="S17" i="8"/>
  <c r="S16" i="8"/>
  <c r="S19" i="8" s="1"/>
  <c r="T15" i="8"/>
  <c r="S20" i="8"/>
  <c r="T17" i="7"/>
  <c r="T16" i="7"/>
  <c r="T19" i="7" s="1"/>
  <c r="U15" i="7"/>
  <c r="T20" i="7"/>
  <c r="T18" i="7"/>
  <c r="V15" i="7"/>
  <c r="R10" i="7"/>
  <c r="S9" i="7"/>
  <c r="R14" i="7"/>
  <c r="R13" i="7"/>
  <c r="R12" i="7"/>
  <c r="R11" i="7"/>
  <c r="L33" i="6"/>
  <c r="G21" i="6"/>
  <c r="H20" i="6"/>
  <c r="H18" i="6"/>
  <c r="H17" i="6"/>
  <c r="H16" i="6"/>
  <c r="I15" i="6"/>
  <c r="J15" i="6" s="1"/>
  <c r="E15" i="6"/>
  <c r="I7" i="6"/>
  <c r="J7" i="6" s="1"/>
  <c r="K7" i="6" s="1"/>
  <c r="L7" i="6" s="1"/>
  <c r="M7" i="6" s="1"/>
  <c r="N7" i="6" s="1"/>
  <c r="O7" i="6" s="1"/>
  <c r="P7" i="6" s="1"/>
  <c r="T11" i="6" l="1"/>
  <c r="T10" i="6"/>
  <c r="T13" i="6" s="1"/>
  <c r="U9" i="6"/>
  <c r="T14" i="6"/>
  <c r="T12" i="6"/>
  <c r="R21" i="9"/>
  <c r="T17" i="9"/>
  <c r="T16" i="9"/>
  <c r="T19" i="9" s="1"/>
  <c r="U15" i="9"/>
  <c r="T18" i="9"/>
  <c r="T20" i="9"/>
  <c r="S10" i="9"/>
  <c r="S13" i="9" s="1"/>
  <c r="T9" i="9"/>
  <c r="S11" i="9"/>
  <c r="S12" i="9"/>
  <c r="S14" i="9"/>
  <c r="T10" i="8"/>
  <c r="T14" i="8"/>
  <c r="T12" i="8"/>
  <c r="T11" i="8"/>
  <c r="U9" i="8"/>
  <c r="S21" i="8"/>
  <c r="T17" i="8"/>
  <c r="T16" i="8"/>
  <c r="T19" i="8" s="1"/>
  <c r="U15" i="8"/>
  <c r="T20" i="8"/>
  <c r="T18" i="8"/>
  <c r="R21" i="7"/>
  <c r="W15" i="7"/>
  <c r="Z15" i="7"/>
  <c r="F15" i="7"/>
  <c r="Y15" i="7"/>
  <c r="F16" i="7"/>
  <c r="U17" i="7"/>
  <c r="V17" i="7" s="1"/>
  <c r="U16" i="7"/>
  <c r="U19" i="7" s="1"/>
  <c r="V19" i="7" s="1"/>
  <c r="U20" i="7"/>
  <c r="V20" i="7" s="1"/>
  <c r="U18" i="7"/>
  <c r="V18" i="7" s="1"/>
  <c r="S10" i="7"/>
  <c r="S13" i="7" s="1"/>
  <c r="T9" i="7"/>
  <c r="S14" i="7"/>
  <c r="S12" i="7"/>
  <c r="S11" i="7"/>
  <c r="I16" i="6"/>
  <c r="I19" i="6" s="1"/>
  <c r="I17" i="6"/>
  <c r="J20" i="6"/>
  <c r="J17" i="6"/>
  <c r="J16" i="6"/>
  <c r="J19" i="6" s="1"/>
  <c r="J18" i="6"/>
  <c r="K15" i="6"/>
  <c r="I18" i="6"/>
  <c r="H19" i="6"/>
  <c r="H21" i="6" s="1"/>
  <c r="I20" i="6"/>
  <c r="G23" i="6"/>
  <c r="G24" i="6" s="1"/>
  <c r="V16" i="7" l="1"/>
  <c r="Y16" i="7" s="1"/>
  <c r="U14" i="6"/>
  <c r="V14" i="6" s="1"/>
  <c r="U12" i="6"/>
  <c r="V12" i="6" s="1"/>
  <c r="U11" i="6"/>
  <c r="V11" i="6" s="1"/>
  <c r="U10" i="6"/>
  <c r="V9" i="6"/>
  <c r="S21" i="9"/>
  <c r="T10" i="9"/>
  <c r="T13" i="9" s="1"/>
  <c r="U9" i="9"/>
  <c r="T14" i="9"/>
  <c r="T12" i="9"/>
  <c r="T11" i="9"/>
  <c r="U17" i="9"/>
  <c r="V17" i="9" s="1"/>
  <c r="U18" i="9"/>
  <c r="V18" i="9" s="1"/>
  <c r="U16" i="9"/>
  <c r="U20" i="9"/>
  <c r="V20" i="9" s="1"/>
  <c r="V15" i="9"/>
  <c r="U12" i="8"/>
  <c r="V12" i="8" s="1"/>
  <c r="U11" i="8"/>
  <c r="V11" i="8" s="1"/>
  <c r="U10" i="8"/>
  <c r="U13" i="8" s="1"/>
  <c r="U14" i="8"/>
  <c r="V14" i="8" s="1"/>
  <c r="V9" i="8"/>
  <c r="T13" i="8"/>
  <c r="U17" i="8"/>
  <c r="V17" i="8" s="1"/>
  <c r="U16" i="8"/>
  <c r="U20" i="8"/>
  <c r="V20" i="8" s="1"/>
  <c r="U18" i="8"/>
  <c r="V18" i="8" s="1"/>
  <c r="V15" i="8"/>
  <c r="F18" i="7"/>
  <c r="Y18" i="7"/>
  <c r="Z18" i="7"/>
  <c r="Z20" i="7"/>
  <c r="Y20" i="7"/>
  <c r="F20" i="7"/>
  <c r="Z17" i="7"/>
  <c r="Y17" i="7"/>
  <c r="F17" i="7"/>
  <c r="Z19" i="7"/>
  <c r="F19" i="7"/>
  <c r="Y19" i="7"/>
  <c r="U9" i="7"/>
  <c r="T12" i="7"/>
  <c r="T14" i="7"/>
  <c r="T11" i="7"/>
  <c r="T10" i="7"/>
  <c r="T13" i="7" s="1"/>
  <c r="S21" i="7"/>
  <c r="K20" i="6"/>
  <c r="K18" i="6"/>
  <c r="K17" i="6"/>
  <c r="K16" i="6"/>
  <c r="L15" i="6"/>
  <c r="I21" i="6"/>
  <c r="J21" i="6"/>
  <c r="V10" i="8" l="1"/>
  <c r="Y10" i="8" s="1"/>
  <c r="V13" i="8"/>
  <c r="Z13" i="8" s="1"/>
  <c r="Z16" i="7"/>
  <c r="F11" i="6"/>
  <c r="Y11" i="6"/>
  <c r="Z11" i="6"/>
  <c r="U13" i="6"/>
  <c r="V13" i="6" s="1"/>
  <c r="V10" i="6"/>
  <c r="Y9" i="6"/>
  <c r="F9" i="6"/>
  <c r="W9" i="6"/>
  <c r="Z9" i="6"/>
  <c r="F14" i="6"/>
  <c r="Z14" i="6"/>
  <c r="Y14" i="6"/>
  <c r="F12" i="6"/>
  <c r="Y12" i="6"/>
  <c r="Z12" i="6"/>
  <c r="T21" i="9"/>
  <c r="Z20" i="9"/>
  <c r="Y20" i="9"/>
  <c r="F20" i="9"/>
  <c r="F16" i="9"/>
  <c r="Z15" i="9"/>
  <c r="Y15" i="9"/>
  <c r="F15" i="9"/>
  <c r="W15" i="9"/>
  <c r="U19" i="9"/>
  <c r="V19" i="9" s="1"/>
  <c r="V16" i="9"/>
  <c r="Z18" i="9"/>
  <c r="Y18" i="9"/>
  <c r="F18" i="9"/>
  <c r="U14" i="9"/>
  <c r="V14" i="9" s="1"/>
  <c r="U10" i="9"/>
  <c r="U12" i="9"/>
  <c r="V12" i="9" s="1"/>
  <c r="U11" i="9"/>
  <c r="V11" i="9" s="1"/>
  <c r="V9" i="9"/>
  <c r="F17" i="9"/>
  <c r="Y17" i="9"/>
  <c r="Z17" i="9"/>
  <c r="F9" i="8"/>
  <c r="Y9" i="8"/>
  <c r="Z9" i="8"/>
  <c r="Y11" i="8"/>
  <c r="Z11" i="8"/>
  <c r="F11" i="8"/>
  <c r="F12" i="8"/>
  <c r="Z12" i="8"/>
  <c r="Y12" i="8"/>
  <c r="Y14" i="8"/>
  <c r="Z14" i="8"/>
  <c r="F14" i="8"/>
  <c r="T21" i="8"/>
  <c r="F16" i="8"/>
  <c r="Z15" i="8"/>
  <c r="Y15" i="8"/>
  <c r="F15" i="8"/>
  <c r="Z20" i="8"/>
  <c r="Y20" i="8"/>
  <c r="F20" i="8"/>
  <c r="Z17" i="8"/>
  <c r="Y17" i="8"/>
  <c r="F17" i="8"/>
  <c r="Y18" i="8"/>
  <c r="Z18" i="8"/>
  <c r="F18" i="8"/>
  <c r="U19" i="8"/>
  <c r="V19" i="8" s="1"/>
  <c r="V16" i="8"/>
  <c r="T21" i="7"/>
  <c r="U14" i="7"/>
  <c r="V14" i="7" s="1"/>
  <c r="U12" i="7"/>
  <c r="V12" i="7" s="1"/>
  <c r="U11" i="7"/>
  <c r="V11" i="7" s="1"/>
  <c r="U10" i="7"/>
  <c r="V9" i="7"/>
  <c r="K19" i="6"/>
  <c r="L16" i="6"/>
  <c r="L19" i="6" s="1"/>
  <c r="L20" i="6"/>
  <c r="L18" i="6"/>
  <c r="L17" i="6"/>
  <c r="M15" i="6"/>
  <c r="Z10" i="8" l="1"/>
  <c r="F10" i="8"/>
  <c r="Y13" i="8"/>
  <c r="F13" i="8"/>
  <c r="F9" i="7"/>
  <c r="F10" i="6"/>
  <c r="Y10" i="6"/>
  <c r="Z10" i="6"/>
  <c r="F13" i="6"/>
  <c r="Y13" i="6"/>
  <c r="Z13" i="6"/>
  <c r="U13" i="9"/>
  <c r="V13" i="9" s="1"/>
  <c r="V10" i="9"/>
  <c r="Y16" i="9"/>
  <c r="Z16" i="9"/>
  <c r="Z14" i="9"/>
  <c r="Y14" i="9"/>
  <c r="F14" i="9"/>
  <c r="W9" i="9"/>
  <c r="W21" i="9" s="1"/>
  <c r="F9" i="9"/>
  <c r="Z9" i="9"/>
  <c r="Y9" i="9"/>
  <c r="Z11" i="9"/>
  <c r="Y11" i="9"/>
  <c r="F11" i="9"/>
  <c r="Z19" i="9"/>
  <c r="Y19" i="9"/>
  <c r="F19" i="9"/>
  <c r="Z12" i="9"/>
  <c r="Y12" i="9"/>
  <c r="F12" i="9"/>
  <c r="V21" i="8"/>
  <c r="Y16" i="8"/>
  <c r="Z16" i="8"/>
  <c r="Z19" i="8"/>
  <c r="Y19" i="8"/>
  <c r="F19" i="8"/>
  <c r="U21" i="8"/>
  <c r="W9" i="7"/>
  <c r="W21" i="7" s="1"/>
  <c r="U13" i="7"/>
  <c r="V13" i="7" s="1"/>
  <c r="V10" i="7"/>
  <c r="V21" i="7" s="1"/>
  <c r="Z12" i="7"/>
  <c r="Y12" i="7"/>
  <c r="F12" i="7"/>
  <c r="Z9" i="7"/>
  <c r="Y9" i="7"/>
  <c r="F11" i="7"/>
  <c r="Y11" i="7"/>
  <c r="Z11" i="7"/>
  <c r="Y14" i="7"/>
  <c r="Z14" i="7"/>
  <c r="F14" i="7"/>
  <c r="L21" i="6"/>
  <c r="K21" i="6"/>
  <c r="M20" i="6"/>
  <c r="M18" i="6"/>
  <c r="M17" i="6"/>
  <c r="M16" i="6"/>
  <c r="M19" i="6" s="1"/>
  <c r="N15" i="6"/>
  <c r="U21" i="9" l="1"/>
  <c r="F21" i="8"/>
  <c r="U21" i="7"/>
  <c r="V21" i="9"/>
  <c r="Y10" i="9"/>
  <c r="F10" i="9"/>
  <c r="Z10" i="9"/>
  <c r="Z13" i="9"/>
  <c r="Y13" i="9"/>
  <c r="F13" i="9"/>
  <c r="Y24" i="8"/>
  <c r="Z24" i="8"/>
  <c r="Z10" i="7"/>
  <c r="Y10" i="7"/>
  <c r="F10" i="7"/>
  <c r="Z13" i="7"/>
  <c r="Y13" i="7"/>
  <c r="F13" i="7"/>
  <c r="N20" i="6"/>
  <c r="N18" i="6"/>
  <c r="N17" i="6"/>
  <c r="N16" i="6"/>
  <c r="M21" i="6"/>
  <c r="Y24" i="9" l="1"/>
  <c r="Z24" i="9"/>
  <c r="F21" i="9"/>
  <c r="Y24" i="7"/>
  <c r="Z24" i="7"/>
  <c r="F21" i="7"/>
  <c r="N19" i="6"/>
  <c r="N21" i="6" s="1"/>
  <c r="O20" i="6"/>
  <c r="O18" i="6"/>
  <c r="O17" i="6"/>
  <c r="O16" i="6"/>
  <c r="O19" i="6" s="1"/>
  <c r="O21" i="6" l="1"/>
  <c r="P18" i="6"/>
  <c r="P17" i="6"/>
  <c r="P16" i="6"/>
  <c r="P19" i="6" s="1"/>
  <c r="R15" i="6"/>
  <c r="P20" i="6"/>
  <c r="Q19" i="6" l="1"/>
  <c r="Q18" i="6"/>
  <c r="Q17" i="6"/>
  <c r="Q16" i="6"/>
  <c r="Q20" i="6"/>
  <c r="P21" i="6"/>
  <c r="Q21" i="6" l="1"/>
  <c r="R18" i="6"/>
  <c r="R17" i="6"/>
  <c r="R16" i="6"/>
  <c r="S15" i="6"/>
  <c r="R20" i="6"/>
  <c r="R19" i="6"/>
  <c r="R21" i="6" l="1"/>
  <c r="S18" i="6"/>
  <c r="S17" i="6"/>
  <c r="S16" i="6"/>
  <c r="S19" i="6" s="1"/>
  <c r="T15" i="6"/>
  <c r="S20" i="6"/>
  <c r="S21" i="6" l="1"/>
  <c r="T17" i="6"/>
  <c r="T16" i="6"/>
  <c r="T19" i="6" s="1"/>
  <c r="U15" i="6"/>
  <c r="T20" i="6"/>
  <c r="T18" i="6"/>
  <c r="T21" i="6" l="1"/>
  <c r="U17" i="6"/>
  <c r="V17" i="6" s="1"/>
  <c r="F17" i="6" s="1"/>
  <c r="U16" i="6"/>
  <c r="U20" i="6"/>
  <c r="V20" i="6" s="1"/>
  <c r="F20" i="6" s="1"/>
  <c r="U18" i="6"/>
  <c r="V18" i="6" s="1"/>
  <c r="F18" i="6" s="1"/>
  <c r="V15" i="6"/>
  <c r="W15" i="6" l="1"/>
  <c r="W21" i="6" s="1"/>
  <c r="F15" i="6"/>
  <c r="F16" i="6"/>
  <c r="Z18" i="6"/>
  <c r="Y18" i="6"/>
  <c r="Z17" i="6"/>
  <c r="Y17" i="6"/>
  <c r="Z20" i="6"/>
  <c r="Y20" i="6"/>
  <c r="Z15" i="6"/>
  <c r="Y15" i="6"/>
  <c r="U19" i="6"/>
  <c r="V19" i="6" s="1"/>
  <c r="F19" i="6" s="1"/>
  <c r="V16" i="6"/>
  <c r="V21" i="6" l="1"/>
  <c r="F21" i="6"/>
  <c r="Z19" i="6"/>
  <c r="Y19" i="6"/>
  <c r="U21" i="6"/>
  <c r="Y16" i="6"/>
  <c r="Y24" i="6" s="1"/>
  <c r="Z16" i="6"/>
  <c r="Z24" i="6" s="1"/>
</calcChain>
</file>

<file path=xl/sharedStrings.xml><?xml version="1.0" encoding="utf-8"?>
<sst xmlns="http://schemas.openxmlformats.org/spreadsheetml/2006/main" count="320" uniqueCount="59">
  <si>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</si>
  <si>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</si>
  <si>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</si>
  <si>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</si>
  <si>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</si>
  <si>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</si>
  <si>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</si>
  <si>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</si>
  <si>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</si>
  <si>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</si>
  <si>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</si>
  <si>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</si>
  <si>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</si>
  <si>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</si>
  <si>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</si>
  <si>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</si>
  <si>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</si>
  <si>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</si>
  <si>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</si>
  <si>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</si>
  <si>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</si>
  <si>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</si>
  <si>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</si>
  <si>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</si>
  <si>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</si>
  <si>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</si>
  <si>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</si>
  <si>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</si>
  <si>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</si>
  <si>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</si>
  <si>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</si>
  <si>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</si>
  <si>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</si>
  <si>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</si>
  <si>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</si>
  <si>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</si>
  <si>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</si>
  <si>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</si>
  <si>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</si>
  <si>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</si>
  <si>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</si>
  <si>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</si>
  <si>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</si>
  <si>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</si>
  <si>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</si>
  <si>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</si>
  <si>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</si>
  <si>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</si>
  <si>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</si>
  <si>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</si>
  <si>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</si>
  <si>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</si>
  <si>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</si>
  <si>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 xml:space="preserve">全家便利商店
全家新鮮視
 (全家電視)  </t>
    <phoneticPr fontId="5" type="noConversion"/>
  </si>
  <si>
    <t>北區-北北基</t>
    <phoneticPr fontId="4" type="noConversion"/>
  </si>
  <si>
    <t>06-24</t>
    <phoneticPr fontId="5" type="noConversion"/>
  </si>
  <si>
    <t xml:space="preserve">全家便利商店
通路廣播廣告 </t>
    <phoneticPr fontId="5" type="noConversion"/>
  </si>
  <si>
    <t>07-23</t>
    <phoneticPr fontId="5" type="noConversion"/>
  </si>
  <si>
    <t>全家企頻 / 新鮮視  專案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</si>
</sst>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d"/>
    <numFmt numFmtId="177" formatCode="dd"/>
    <numFmt numFmtId="178" formatCode="[$-404]aaa;@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5" fillId="2" borderId="0" xfId="2" applyFont="1" applyFill="1">
      <alignment vertical="center"/>
    </xf>
    <xf numFmtId="181" fontId="14" fillId="2" borderId="35" xfId="6" applyNumberFormat="1" applyFont="1" applyFill="1" applyBorder="1" applyAlignment="1">
      <alignment vertical="center"/>
    </xf>
    <xf numFmtId="184" fontId="17" fillId="2" borderId="36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39" xfId="6" applyNumberFormat="1" applyFont="1" applyFill="1" applyBorder="1" applyAlignment="1">
      <alignment vertical="center"/>
    </xf>
    <xf numFmtId="184" fontId="17" fillId="2" borderId="40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45" xfId="2" applyFont="1" applyFill="1" applyBorder="1" applyAlignment="1">
      <alignment horizontal="left" vertical="center" indent="2"/>
    </xf>
    <xf numFmtId="38" fontId="18" fillId="2" borderId="45" xfId="1" applyNumberFormat="1" applyFont="1" applyFill="1" applyBorder="1" applyAlignment="1">
      <alignment vertical="center" wrapText="1"/>
    </xf>
    <xf numFmtId="49" fontId="18" fillId="2" borderId="45" xfId="8" applyNumberFormat="1" applyFont="1" applyFill="1" applyBorder="1" applyAlignment="1">
      <alignment horizontal="center" vertical="center"/>
    </xf>
    <xf numFmtId="38" fontId="18" fillId="2" borderId="45" xfId="8" applyNumberFormat="1" applyFont="1" applyFill="1" applyBorder="1" applyAlignment="1">
      <alignment horizontal="center" vertical="center"/>
    </xf>
    <xf numFmtId="38" fontId="21" fillId="2" borderId="45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15" xfId="6" applyNumberFormat="1" applyFont="1" applyFill="1" applyBorder="1" applyAlignment="1">
      <alignment horizontal="center" vertical="center"/>
    </xf>
    <xf numFmtId="181" fontId="16" fillId="0" borderId="15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17" xfId="2" applyFont="1" applyBorder="1" applyAlignment="1">
      <alignment horizontal="center" vertical="center" wrapText="1"/>
    </xf>
    <xf numFmtId="38" fontId="20" fillId="2" borderId="17" xfId="1" applyNumberFormat="1" applyFont="1" applyFill="1" applyBorder="1" applyAlignment="1">
      <alignment horizontal="center" vertical="center" wrapText="1"/>
    </xf>
    <xf numFmtId="0" fontId="20" fillId="0" borderId="19" xfId="5" applyFont="1" applyBorder="1" applyAlignment="1">
      <alignment horizontal="center" vertical="center"/>
    </xf>
    <xf numFmtId="0" fontId="20" fillId="0" borderId="20" xfId="5" applyFont="1" applyBorder="1" applyAlignment="1">
      <alignment horizontal="center" vertical="center"/>
    </xf>
    <xf numFmtId="38" fontId="20" fillId="2" borderId="21" xfId="1" applyNumberFormat="1" applyFont="1" applyFill="1" applyBorder="1" applyAlignment="1">
      <alignment horizontal="center" vertical="center"/>
    </xf>
    <xf numFmtId="0" fontId="20" fillId="0" borderId="23" xfId="2" applyFont="1" applyBorder="1" applyAlignment="1">
      <alignment horizontal="center" vertical="center" wrapText="1"/>
    </xf>
    <xf numFmtId="182" fontId="20" fillId="0" borderId="23" xfId="2" applyNumberFormat="1" applyFont="1" applyBorder="1" applyAlignment="1">
      <alignment horizontal="center" vertical="center" wrapText="1"/>
    </xf>
    <xf numFmtId="38" fontId="20" fillId="2" borderId="23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182" fontId="20" fillId="0" borderId="17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/>
    </xf>
    <xf numFmtId="0" fontId="20" fillId="0" borderId="29" xfId="5" applyFont="1" applyBorder="1" applyAlignment="1">
      <alignment horizontal="center" vertical="center"/>
    </xf>
    <xf numFmtId="38" fontId="20" fillId="2" borderId="30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2" xfId="7" applyFont="1" applyFill="1" applyBorder="1" applyAlignment="1">
      <alignment horizontal="center" vertical="center"/>
    </xf>
    <xf numFmtId="0" fontId="20" fillId="2" borderId="33" xfId="7" applyFont="1" applyFill="1" applyBorder="1" applyAlignment="1">
      <alignment horizontal="center" vertical="center"/>
    </xf>
    <xf numFmtId="183" fontId="20" fillId="2" borderId="33" xfId="7" applyNumberFormat="1" applyFont="1" applyFill="1" applyBorder="1" applyAlignment="1">
      <alignment horizontal="center" vertical="center" wrapText="1"/>
    </xf>
    <xf numFmtId="183" fontId="19" fillId="2" borderId="34" xfId="7" applyNumberFormat="1" applyFont="1" applyFill="1" applyBorder="1" applyAlignment="1">
      <alignment horizontal="center" vertical="center" wrapText="1"/>
    </xf>
    <xf numFmtId="38" fontId="20" fillId="0" borderId="33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36" xfId="2" applyFont="1" applyBorder="1" applyAlignment="1">
      <alignment horizontal="center" vertical="center"/>
    </xf>
    <xf numFmtId="183" fontId="19" fillId="2" borderId="37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38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4" fontId="20" fillId="2" borderId="31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3" xfId="2" applyFont="1" applyBorder="1" applyAlignment="1">
      <alignment horizontal="center" vertical="center"/>
    </xf>
    <xf numFmtId="38" fontId="19" fillId="2" borderId="44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4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1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46" xfId="9" applyFont="1" applyBorder="1" applyAlignment="1">
      <alignment horizontal="left" vertical="center" wrapText="1"/>
    </xf>
    <xf numFmtId="0" fontId="29" fillId="0" borderId="46" xfId="9" applyFont="1" applyBorder="1" applyAlignment="1">
      <alignment horizontal="center" vertical="center" wrapText="1"/>
    </xf>
    <xf numFmtId="180" fontId="20" fillId="0" borderId="17" xfId="1" applyNumberFormat="1" applyFont="1" applyBorder="1" applyAlignment="1">
      <alignment horizontal="center" vertical="center"/>
    </xf>
    <xf numFmtId="38" fontId="19" fillId="2" borderId="18" xfId="1" applyNumberFormat="1" applyFont="1" applyFill="1" applyBorder="1" applyAlignment="1">
      <alignment horizontal="center" vertical="center" wrapText="1"/>
    </xf>
    <xf numFmtId="38" fontId="19" fillId="2" borderId="27" xfId="1" applyNumberFormat="1" applyFont="1" applyFill="1" applyBorder="1" applyAlignment="1">
      <alignment horizontal="center" vertical="center" wrapText="1"/>
    </xf>
    <xf numFmtId="0" fontId="20" fillId="0" borderId="22" xfId="2" applyFont="1" applyBorder="1" applyAlignment="1">
      <alignment horizontal="center" vertical="center" wrapText="1"/>
    </xf>
    <xf numFmtId="0" fontId="20" fillId="0" borderId="16" xfId="2" applyFont="1" applyBorder="1" applyAlignment="1">
      <alignment horizontal="center" vertical="center" wrapText="1"/>
    </xf>
    <xf numFmtId="0" fontId="20" fillId="0" borderId="47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3" xfId="1" quotePrefix="1" applyNumberFormat="1" applyFont="1" applyBorder="1" applyAlignment="1">
      <alignment horizontal="center" vertical="center"/>
    </xf>
    <xf numFmtId="49" fontId="20" fillId="0" borderId="17" xfId="1" applyNumberFormat="1" applyFont="1" applyBorder="1" applyAlignment="1">
      <alignment horizontal="center" vertical="center"/>
    </xf>
    <xf numFmtId="49" fontId="20" fillId="0" borderId="48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3" xfId="1" applyNumberFormat="1" applyFont="1" applyBorder="1" applyAlignment="1">
      <alignment horizontal="center" vertical="center"/>
    </xf>
    <xf numFmtId="180" fontId="20" fillId="0" borderId="48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R15" sqref="R15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52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1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3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30秒</v>
      </c>
      <c r="F9" s="58">
        <f>250000/480*V9*W6</f>
        <v>87500</v>
      </c>
      <c r="G9" s="139">
        <v>250000</v>
      </c>
      <c r="H9" s="59">
        <v>12</v>
      </c>
      <c r="I9" s="60">
        <f>H9</f>
        <v>12</v>
      </c>
      <c r="J9" s="60">
        <f t="shared" ref="J9:U11" si="1">I9</f>
        <v>12</v>
      </c>
      <c r="K9" s="60">
        <f t="shared" si="1"/>
        <v>12</v>
      </c>
      <c r="L9" s="60">
        <f t="shared" si="1"/>
        <v>12</v>
      </c>
      <c r="M9" s="60">
        <f t="shared" si="1"/>
        <v>12</v>
      </c>
      <c r="N9" s="60">
        <f t="shared" si="1"/>
        <v>12</v>
      </c>
      <c r="O9" s="60">
        <f>N9</f>
        <v>12</v>
      </c>
      <c r="P9" s="60">
        <f t="shared" ref="P9:R15" si="2">O9</f>
        <v>12</v>
      </c>
      <c r="Q9" s="60">
        <f t="shared" si="2"/>
        <v>12</v>
      </c>
      <c r="R9" s="60">
        <f t="shared" si="2"/>
        <v>12</v>
      </c>
      <c r="S9" s="60">
        <f>R9</f>
        <v>12</v>
      </c>
      <c r="T9" s="60">
        <f t="shared" si="1"/>
        <v>12</v>
      </c>
      <c r="U9" s="60">
        <f t="shared" si="1"/>
        <v>12</v>
      </c>
      <c r="V9" s="61">
        <f t="shared" ref="V9:V20" si="3">SUM(H9:U9)</f>
        <v>168</v>
      </c>
      <c r="W9" s="125">
        <f>320000/480*W6*V9</f>
        <v>112000</v>
      </c>
      <c r="X9" s="30" t="s">
        <v>23</v>
      </c>
      <c r="Y9" s="31">
        <f t="shared" ref="Y9:Y14" si="4">V9*C9</f>
        <v>281064</v>
      </c>
      <c r="Z9" s="32">
        <f t="shared" ref="Z9:Z14" si="5">1000*(C9/24/6)*V9</f>
        <v>1951833.3333333333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52500</v>
      </c>
      <c r="G10" s="139"/>
      <c r="H10" s="53">
        <f>H9</f>
        <v>12</v>
      </c>
      <c r="I10" s="54">
        <f>I9</f>
        <v>12</v>
      </c>
      <c r="J10" s="54">
        <f t="shared" ref="J10:U10" si="6">J9</f>
        <v>12</v>
      </c>
      <c r="K10" s="54">
        <f t="shared" si="6"/>
        <v>12</v>
      </c>
      <c r="L10" s="54">
        <f t="shared" si="6"/>
        <v>12</v>
      </c>
      <c r="M10" s="54">
        <f t="shared" si="6"/>
        <v>12</v>
      </c>
      <c r="N10" s="54">
        <f t="shared" si="6"/>
        <v>12</v>
      </c>
      <c r="O10" s="54">
        <f t="shared" si="6"/>
        <v>12</v>
      </c>
      <c r="P10" s="54">
        <f t="shared" si="6"/>
        <v>12</v>
      </c>
      <c r="Q10" s="54">
        <f>Q9</f>
        <v>12</v>
      </c>
      <c r="R10" s="54">
        <f>R9</f>
        <v>12</v>
      </c>
      <c r="S10" s="54">
        <f t="shared" si="6"/>
        <v>12</v>
      </c>
      <c r="T10" s="54">
        <f t="shared" si="6"/>
        <v>12</v>
      </c>
      <c r="U10" s="54">
        <f t="shared" si="6"/>
        <v>12</v>
      </c>
      <c r="V10" s="55">
        <f t="shared" si="3"/>
        <v>168</v>
      </c>
      <c r="W10" s="125"/>
      <c r="X10" s="30" t="s">
        <v>23</v>
      </c>
      <c r="Y10" s="31">
        <f t="shared" si="4"/>
        <v>132384</v>
      </c>
      <c r="Z10" s="32">
        <f t="shared" si="5"/>
        <v>919333.33333333337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52500</v>
      </c>
      <c r="G11" s="139"/>
      <c r="H11" s="53">
        <f>H9</f>
        <v>12</v>
      </c>
      <c r="I11" s="54">
        <f>I9</f>
        <v>12</v>
      </c>
      <c r="J11" s="54">
        <f t="shared" ref="J11:U11" si="7">J9</f>
        <v>12</v>
      </c>
      <c r="K11" s="54">
        <f t="shared" si="7"/>
        <v>12</v>
      </c>
      <c r="L11" s="54">
        <f t="shared" si="7"/>
        <v>12</v>
      </c>
      <c r="M11" s="54">
        <f t="shared" si="7"/>
        <v>12</v>
      </c>
      <c r="N11" s="54">
        <f t="shared" si="7"/>
        <v>12</v>
      </c>
      <c r="O11" s="54">
        <f t="shared" si="7"/>
        <v>12</v>
      </c>
      <c r="P11" s="54">
        <f t="shared" si="7"/>
        <v>12</v>
      </c>
      <c r="Q11" s="54">
        <f>Q9</f>
        <v>12</v>
      </c>
      <c r="R11" s="54">
        <f>R9</f>
        <v>12</v>
      </c>
      <c r="S11" s="54">
        <f t="shared" si="7"/>
        <v>12</v>
      </c>
      <c r="T11" s="54">
        <f t="shared" si="7"/>
        <v>12</v>
      </c>
      <c r="U11" s="54">
        <f t="shared" si="7"/>
        <v>12</v>
      </c>
      <c r="V11" s="55">
        <f t="shared" si="3"/>
        <v>168</v>
      </c>
      <c r="W11" s="125"/>
      <c r="X11" s="30" t="s">
        <v>23</v>
      </c>
      <c r="Y11" s="31">
        <f t="shared" si="4"/>
        <v>142800</v>
      </c>
      <c r="Z11" s="32">
        <f t="shared" si="5"/>
        <v>991666.66666666663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35000</v>
      </c>
      <c r="G12" s="139"/>
      <c r="H12" s="53">
        <f t="shared" ref="H12:U13" si="8">H9</f>
        <v>12</v>
      </c>
      <c r="I12" s="54">
        <f t="shared" si="8"/>
        <v>12</v>
      </c>
      <c r="J12" s="54">
        <f t="shared" si="8"/>
        <v>12</v>
      </c>
      <c r="K12" s="54">
        <f t="shared" si="8"/>
        <v>12</v>
      </c>
      <c r="L12" s="54">
        <f t="shared" si="8"/>
        <v>12</v>
      </c>
      <c r="M12" s="54">
        <f t="shared" si="8"/>
        <v>12</v>
      </c>
      <c r="N12" s="54">
        <f t="shared" si="8"/>
        <v>12</v>
      </c>
      <c r="O12" s="54">
        <f t="shared" si="8"/>
        <v>12</v>
      </c>
      <c r="P12" s="54">
        <f t="shared" si="8"/>
        <v>12</v>
      </c>
      <c r="Q12" s="54">
        <f>Q9</f>
        <v>12</v>
      </c>
      <c r="R12" s="54">
        <f>R9</f>
        <v>12</v>
      </c>
      <c r="S12" s="54">
        <f t="shared" si="8"/>
        <v>12</v>
      </c>
      <c r="T12" s="54">
        <f t="shared" si="8"/>
        <v>12</v>
      </c>
      <c r="U12" s="54">
        <f t="shared" si="8"/>
        <v>12</v>
      </c>
      <c r="V12" s="55">
        <f t="shared" si="3"/>
        <v>168</v>
      </c>
      <c r="W12" s="125"/>
      <c r="X12" s="30" t="s">
        <v>23</v>
      </c>
      <c r="Y12" s="31">
        <f t="shared" si="4"/>
        <v>84168</v>
      </c>
      <c r="Z12" s="32">
        <f t="shared" si="5"/>
        <v>584500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35000</v>
      </c>
      <c r="G13" s="139"/>
      <c r="H13" s="53">
        <f t="shared" si="8"/>
        <v>12</v>
      </c>
      <c r="I13" s="54">
        <f t="shared" si="8"/>
        <v>12</v>
      </c>
      <c r="J13" s="54">
        <f t="shared" si="8"/>
        <v>12</v>
      </c>
      <c r="K13" s="54">
        <f t="shared" si="8"/>
        <v>12</v>
      </c>
      <c r="L13" s="54">
        <f t="shared" si="8"/>
        <v>12</v>
      </c>
      <c r="M13" s="54">
        <f t="shared" si="8"/>
        <v>12</v>
      </c>
      <c r="N13" s="54">
        <f t="shared" si="8"/>
        <v>12</v>
      </c>
      <c r="O13" s="54">
        <f t="shared" si="8"/>
        <v>12</v>
      </c>
      <c r="P13" s="54">
        <f t="shared" si="8"/>
        <v>12</v>
      </c>
      <c r="Q13" s="54">
        <f>Q9</f>
        <v>12</v>
      </c>
      <c r="R13" s="54">
        <f>R9</f>
        <v>12</v>
      </c>
      <c r="S13" s="54">
        <f t="shared" si="8"/>
        <v>12</v>
      </c>
      <c r="T13" s="54">
        <f t="shared" si="8"/>
        <v>12</v>
      </c>
      <c r="U13" s="54">
        <f t="shared" si="8"/>
        <v>12</v>
      </c>
      <c r="V13" s="55">
        <f t="shared" si="3"/>
        <v>168</v>
      </c>
      <c r="W13" s="125"/>
      <c r="X13" s="30" t="s">
        <v>23</v>
      </c>
      <c r="Y13" s="31">
        <f t="shared" si="4"/>
        <v>84504</v>
      </c>
      <c r="Z13" s="32">
        <f t="shared" si="5"/>
        <v>586833.33333333326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21875</v>
      </c>
      <c r="G14" s="139"/>
      <c r="H14" s="66">
        <f>H9</f>
        <v>12</v>
      </c>
      <c r="I14" s="67">
        <f>I9</f>
        <v>12</v>
      </c>
      <c r="J14" s="67">
        <f t="shared" ref="J14:U14" si="9">J9</f>
        <v>12</v>
      </c>
      <c r="K14" s="67">
        <f t="shared" si="9"/>
        <v>12</v>
      </c>
      <c r="L14" s="67">
        <f t="shared" si="9"/>
        <v>12</v>
      </c>
      <c r="M14" s="67">
        <f t="shared" si="9"/>
        <v>12</v>
      </c>
      <c r="N14" s="67">
        <f t="shared" si="9"/>
        <v>12</v>
      </c>
      <c r="O14" s="67">
        <f t="shared" si="9"/>
        <v>12</v>
      </c>
      <c r="P14" s="67">
        <f t="shared" si="9"/>
        <v>12</v>
      </c>
      <c r="Q14" s="67">
        <f>Q9</f>
        <v>12</v>
      </c>
      <c r="R14" s="67">
        <f>R9</f>
        <v>12</v>
      </c>
      <c r="S14" s="67">
        <f t="shared" si="9"/>
        <v>12</v>
      </c>
      <c r="T14" s="67">
        <f t="shared" si="9"/>
        <v>12</v>
      </c>
      <c r="U14" s="67">
        <f t="shared" si="9"/>
        <v>12</v>
      </c>
      <c r="V14" s="68">
        <f t="shared" si="3"/>
        <v>168</v>
      </c>
      <c r="W14" s="125"/>
      <c r="X14" s="30" t="s">
        <v>23</v>
      </c>
      <c r="Y14" s="31">
        <f t="shared" si="4"/>
        <v>30576</v>
      </c>
      <c r="Z14" s="32">
        <f t="shared" si="5"/>
        <v>212333.33333333334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30秒</v>
      </c>
      <c r="F15" s="58">
        <f>150000/1008*V15*W7</f>
        <v>85267.85714285713</v>
      </c>
      <c r="G15" s="139"/>
      <c r="H15" s="59">
        <v>14</v>
      </c>
      <c r="I15" s="60">
        <f>H15</f>
        <v>14</v>
      </c>
      <c r="J15" s="60">
        <f t="shared" ref="J15:U15" si="10">I15</f>
        <v>14</v>
      </c>
      <c r="K15" s="60">
        <f t="shared" si="10"/>
        <v>14</v>
      </c>
      <c r="L15" s="60">
        <f t="shared" si="10"/>
        <v>14</v>
      </c>
      <c r="M15" s="60">
        <f t="shared" si="10"/>
        <v>14</v>
      </c>
      <c r="N15" s="60">
        <f t="shared" si="10"/>
        <v>14</v>
      </c>
      <c r="O15" s="60">
        <v>14</v>
      </c>
      <c r="P15" s="60">
        <f>O15</f>
        <v>14</v>
      </c>
      <c r="Q15" s="60">
        <v>13</v>
      </c>
      <c r="R15" s="60">
        <f>Q15</f>
        <v>13</v>
      </c>
      <c r="S15" s="60">
        <f>R15</f>
        <v>13</v>
      </c>
      <c r="T15" s="60">
        <f t="shared" si="10"/>
        <v>13</v>
      </c>
      <c r="U15" s="60">
        <f t="shared" si="10"/>
        <v>13</v>
      </c>
      <c r="V15" s="61">
        <f t="shared" si="3"/>
        <v>191</v>
      </c>
      <c r="W15" s="125">
        <f>120000/504*W7*V15</f>
        <v>136428.57142857145</v>
      </c>
      <c r="X15" s="30" t="s">
        <v>23</v>
      </c>
      <c r="Y15" s="31">
        <f t="shared" ref="Y15:Y20" si="11">V15*C15</f>
        <v>230919</v>
      </c>
      <c r="Z15" s="32">
        <f t="shared" ref="Z15:Z20" si="12">1000*(C15/24/6)*V15</f>
        <v>1603604.1666666667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68214.285714285725</v>
      </c>
      <c r="G16" s="139"/>
      <c r="H16" s="53">
        <f>H15</f>
        <v>14</v>
      </c>
      <c r="I16" s="54">
        <f>I15</f>
        <v>14</v>
      </c>
      <c r="J16" s="54">
        <f t="shared" ref="J16:U16" si="13">J15</f>
        <v>14</v>
      </c>
      <c r="K16" s="54">
        <f t="shared" si="13"/>
        <v>14</v>
      </c>
      <c r="L16" s="54">
        <f t="shared" si="13"/>
        <v>14</v>
      </c>
      <c r="M16" s="54">
        <f t="shared" si="13"/>
        <v>14</v>
      </c>
      <c r="N16" s="54">
        <f t="shared" si="13"/>
        <v>14</v>
      </c>
      <c r="O16" s="54">
        <f t="shared" si="13"/>
        <v>14</v>
      </c>
      <c r="P16" s="54">
        <f t="shared" si="13"/>
        <v>14</v>
      </c>
      <c r="Q16" s="54">
        <f>Q15</f>
        <v>13</v>
      </c>
      <c r="R16" s="54">
        <f>R15</f>
        <v>13</v>
      </c>
      <c r="S16" s="54">
        <f t="shared" si="13"/>
        <v>13</v>
      </c>
      <c r="T16" s="54">
        <f t="shared" si="13"/>
        <v>13</v>
      </c>
      <c r="U16" s="54">
        <f t="shared" si="13"/>
        <v>13</v>
      </c>
      <c r="V16" s="55">
        <f t="shared" si="3"/>
        <v>191</v>
      </c>
      <c r="W16" s="125"/>
      <c r="X16" s="30" t="s">
        <v>23</v>
      </c>
      <c r="Y16" s="31">
        <f t="shared" si="11"/>
        <v>126060</v>
      </c>
      <c r="Z16" s="32">
        <f t="shared" si="12"/>
        <v>875416.66666666663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51160.71428571429</v>
      </c>
      <c r="G17" s="139"/>
      <c r="H17" s="53">
        <f>H15</f>
        <v>14</v>
      </c>
      <c r="I17" s="54">
        <f>I15</f>
        <v>14</v>
      </c>
      <c r="J17" s="54">
        <f t="shared" ref="J17:U17" si="14">J15</f>
        <v>14</v>
      </c>
      <c r="K17" s="54">
        <f t="shared" si="14"/>
        <v>14</v>
      </c>
      <c r="L17" s="54">
        <f t="shared" si="14"/>
        <v>14</v>
      </c>
      <c r="M17" s="54">
        <f t="shared" si="14"/>
        <v>14</v>
      </c>
      <c r="N17" s="54">
        <f t="shared" si="14"/>
        <v>14</v>
      </c>
      <c r="O17" s="54">
        <f t="shared" si="14"/>
        <v>14</v>
      </c>
      <c r="P17" s="54">
        <f t="shared" si="14"/>
        <v>14</v>
      </c>
      <c r="Q17" s="54">
        <f>Q15</f>
        <v>13</v>
      </c>
      <c r="R17" s="54">
        <f>R15</f>
        <v>13</v>
      </c>
      <c r="S17" s="54">
        <f t="shared" si="14"/>
        <v>13</v>
      </c>
      <c r="T17" s="54">
        <f t="shared" si="14"/>
        <v>13</v>
      </c>
      <c r="U17" s="54">
        <f t="shared" si="14"/>
        <v>13</v>
      </c>
      <c r="V17" s="55">
        <f t="shared" si="3"/>
        <v>191</v>
      </c>
      <c r="W17" s="125"/>
      <c r="X17" s="30" t="s">
        <v>23</v>
      </c>
      <c r="Y17" s="31">
        <f t="shared" si="11"/>
        <v>110589</v>
      </c>
      <c r="Z17" s="32">
        <f t="shared" si="12"/>
        <v>767979.16666666663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42633.928571428565</v>
      </c>
      <c r="G18" s="139"/>
      <c r="H18" s="53">
        <f t="shared" ref="H18:U19" si="15">H15</f>
        <v>14</v>
      </c>
      <c r="I18" s="54">
        <f t="shared" si="15"/>
        <v>14</v>
      </c>
      <c r="J18" s="54">
        <f t="shared" si="15"/>
        <v>14</v>
      </c>
      <c r="K18" s="54">
        <f t="shared" si="15"/>
        <v>14</v>
      </c>
      <c r="L18" s="54">
        <f t="shared" si="15"/>
        <v>14</v>
      </c>
      <c r="M18" s="54">
        <f t="shared" si="15"/>
        <v>14</v>
      </c>
      <c r="N18" s="54">
        <f t="shared" si="15"/>
        <v>14</v>
      </c>
      <c r="O18" s="54">
        <f t="shared" si="15"/>
        <v>14</v>
      </c>
      <c r="P18" s="54">
        <f t="shared" si="15"/>
        <v>14</v>
      </c>
      <c r="Q18" s="54">
        <f>Q15</f>
        <v>13</v>
      </c>
      <c r="R18" s="54">
        <f>R15</f>
        <v>13</v>
      </c>
      <c r="S18" s="54">
        <f t="shared" si="15"/>
        <v>13</v>
      </c>
      <c r="T18" s="54">
        <f t="shared" si="15"/>
        <v>13</v>
      </c>
      <c r="U18" s="54">
        <f t="shared" si="15"/>
        <v>13</v>
      </c>
      <c r="V18" s="55">
        <f t="shared" si="3"/>
        <v>191</v>
      </c>
      <c r="W18" s="125"/>
      <c r="X18" s="30" t="s">
        <v>23</v>
      </c>
      <c r="Y18" s="31">
        <f t="shared" si="11"/>
        <v>72580</v>
      </c>
      <c r="Z18" s="32">
        <f t="shared" si="12"/>
        <v>504027.77777777775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42633.928571428565</v>
      </c>
      <c r="G19" s="139"/>
      <c r="H19" s="53">
        <f t="shared" si="15"/>
        <v>14</v>
      </c>
      <c r="I19" s="54">
        <f t="shared" si="15"/>
        <v>14</v>
      </c>
      <c r="J19" s="54">
        <f t="shared" si="15"/>
        <v>14</v>
      </c>
      <c r="K19" s="54">
        <f t="shared" si="15"/>
        <v>14</v>
      </c>
      <c r="L19" s="54">
        <f t="shared" si="15"/>
        <v>14</v>
      </c>
      <c r="M19" s="54">
        <f t="shared" si="15"/>
        <v>14</v>
      </c>
      <c r="N19" s="54">
        <f t="shared" si="15"/>
        <v>14</v>
      </c>
      <c r="O19" s="54">
        <f t="shared" si="15"/>
        <v>14</v>
      </c>
      <c r="P19" s="54">
        <f t="shared" si="15"/>
        <v>14</v>
      </c>
      <c r="Q19" s="54">
        <f>Q15</f>
        <v>13</v>
      </c>
      <c r="R19" s="54">
        <f>R15</f>
        <v>13</v>
      </c>
      <c r="S19" s="54">
        <f t="shared" si="15"/>
        <v>13</v>
      </c>
      <c r="T19" s="54">
        <f t="shared" si="15"/>
        <v>13</v>
      </c>
      <c r="U19" s="54">
        <f t="shared" si="15"/>
        <v>13</v>
      </c>
      <c r="V19" s="55">
        <f t="shared" si="3"/>
        <v>191</v>
      </c>
      <c r="W19" s="125"/>
      <c r="X19" s="30" t="s">
        <v>23</v>
      </c>
      <c r="Y19" s="31">
        <f t="shared" si="11"/>
        <v>81748</v>
      </c>
      <c r="Z19" s="32">
        <f t="shared" si="12"/>
        <v>567694.44444444438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25580.357142857145</v>
      </c>
      <c r="G20" s="140"/>
      <c r="H20" s="66">
        <f>H15</f>
        <v>14</v>
      </c>
      <c r="I20" s="67">
        <f>I15</f>
        <v>14</v>
      </c>
      <c r="J20" s="67">
        <f t="shared" ref="J20:U20" si="16">J15</f>
        <v>14</v>
      </c>
      <c r="K20" s="67">
        <f t="shared" si="16"/>
        <v>14</v>
      </c>
      <c r="L20" s="67">
        <f t="shared" si="16"/>
        <v>14</v>
      </c>
      <c r="M20" s="67">
        <f t="shared" si="16"/>
        <v>14</v>
      </c>
      <c r="N20" s="67">
        <f t="shared" si="16"/>
        <v>14</v>
      </c>
      <c r="O20" s="67">
        <f t="shared" si="16"/>
        <v>14</v>
      </c>
      <c r="P20" s="67">
        <f t="shared" si="16"/>
        <v>14</v>
      </c>
      <c r="Q20" s="67">
        <f>Q15</f>
        <v>13</v>
      </c>
      <c r="R20" s="67">
        <f>R15</f>
        <v>13</v>
      </c>
      <c r="S20" s="67">
        <f t="shared" si="16"/>
        <v>13</v>
      </c>
      <c r="T20" s="67">
        <f t="shared" si="16"/>
        <v>13</v>
      </c>
      <c r="U20" s="67">
        <f t="shared" si="16"/>
        <v>13</v>
      </c>
      <c r="V20" s="68">
        <f t="shared" si="3"/>
        <v>191</v>
      </c>
      <c r="W20" s="125"/>
      <c r="X20" s="30" t="s">
        <v>23</v>
      </c>
      <c r="Y20" s="31">
        <f t="shared" si="11"/>
        <v>17572</v>
      </c>
      <c r="Z20" s="32">
        <f t="shared" si="12"/>
        <v>122027.77777777778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599866.07142857136</v>
      </c>
      <c r="G21" s="73">
        <f>SUM(G9:G17)</f>
        <v>250000</v>
      </c>
      <c r="H21" s="74">
        <f>SUM(H9:H20)</f>
        <v>156</v>
      </c>
      <c r="I21" s="74">
        <f>SUM(I9:I20)</f>
        <v>156</v>
      </c>
      <c r="J21" s="74">
        <f>SUM(J9:J20)</f>
        <v>156</v>
      </c>
      <c r="K21" s="74">
        <f>SUM(K9:K20)</f>
        <v>156</v>
      </c>
      <c r="L21" s="74">
        <f>SUM(L9:L20)</f>
        <v>156</v>
      </c>
      <c r="M21" s="74">
        <f>SUM(M9:M20)</f>
        <v>156</v>
      </c>
      <c r="N21" s="74">
        <f>SUM(N9:N20)</f>
        <v>156</v>
      </c>
      <c r="O21" s="74">
        <f>SUM(O9:O20)</f>
        <v>156</v>
      </c>
      <c r="P21" s="74">
        <f>SUM(P9:P20)</f>
        <v>156</v>
      </c>
      <c r="Q21" s="74">
        <f>SUM(Q9:Q20)</f>
        <v>150</v>
      </c>
      <c r="R21" s="74">
        <f>SUM(R9:R20)</f>
        <v>150</v>
      </c>
      <c r="S21" s="74">
        <f>SUM(S9:S20)</f>
        <v>150</v>
      </c>
      <c r="T21" s="74">
        <f>SUM(T9:T20)</f>
        <v>150</v>
      </c>
      <c r="U21" s="74">
        <f>SUM(U9:U20)</f>
        <v>150</v>
      </c>
      <c r="V21" s="75">
        <f>SUM(V7:V20)</f>
        <v>2154</v>
      </c>
      <c r="W21" s="126">
        <f>SUM(W9:W20)</f>
        <v>248428.57142857145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12500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262500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1394964</v>
      </c>
      <c r="Z24" s="21">
        <f>SUM(Z9:Z22)</f>
        <v>9687250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G9:G20"/>
    <mergeCell ref="A15:A20"/>
    <mergeCell ref="D15:D20"/>
    <mergeCell ref="E15:E20"/>
    <mergeCell ref="A9:A14"/>
    <mergeCell ref="D9:D14"/>
    <mergeCell ref="E9:E14"/>
    <mergeCell ref="A35:C35"/>
    <mergeCell ref="I35:N35"/>
    <mergeCell ref="A21:B21"/>
    <mergeCell ref="A33:C33"/>
    <mergeCell ref="I33:K33"/>
    <mergeCell ref="L33:O33"/>
    <mergeCell ref="A34:C34"/>
    <mergeCell ref="I34:N34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AF95-F904-47E9-80EA-9AFB901D4810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O16" sqref="O16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41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0.85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2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20秒</v>
      </c>
      <c r="F9" s="58">
        <f>250000/480*V9*W6</f>
        <v>86770.833333333343</v>
      </c>
      <c r="G9" s="139">
        <v>250000</v>
      </c>
      <c r="H9" s="59">
        <v>14</v>
      </c>
      <c r="I9" s="60">
        <f>H9</f>
        <v>14</v>
      </c>
      <c r="J9" s="60">
        <f t="shared" ref="J9:U11" si="1">I9</f>
        <v>14</v>
      </c>
      <c r="K9" s="60">
        <f t="shared" si="1"/>
        <v>14</v>
      </c>
      <c r="L9" s="60">
        <f t="shared" si="1"/>
        <v>14</v>
      </c>
      <c r="M9" s="60">
        <f t="shared" si="1"/>
        <v>14</v>
      </c>
      <c r="N9" s="60">
        <f t="shared" si="1"/>
        <v>14</v>
      </c>
      <c r="O9" s="60">
        <f>N9</f>
        <v>14</v>
      </c>
      <c r="P9" s="60">
        <f t="shared" ref="P9:R15" si="2">O9</f>
        <v>14</v>
      </c>
      <c r="Q9" s="60">
        <f t="shared" si="2"/>
        <v>14</v>
      </c>
      <c r="R9" s="60">
        <f t="shared" si="2"/>
        <v>14</v>
      </c>
      <c r="S9" s="60">
        <f>R9</f>
        <v>14</v>
      </c>
      <c r="T9" s="60">
        <f t="shared" si="1"/>
        <v>14</v>
      </c>
      <c r="U9" s="60">
        <f t="shared" si="1"/>
        <v>14</v>
      </c>
      <c r="V9" s="61">
        <f t="shared" ref="V9:V20" si="3">SUM(H9:U9)</f>
        <v>196</v>
      </c>
      <c r="W9" s="125">
        <f>320000/480*W6*V9</f>
        <v>111066.66666666666</v>
      </c>
      <c r="X9" s="30" t="s">
        <v>23</v>
      </c>
      <c r="Y9" s="31">
        <f t="shared" ref="Y9:Y20" si="4">V9*C9</f>
        <v>327908</v>
      </c>
      <c r="Z9" s="32">
        <f t="shared" ref="Z9:Z20" si="5">1000*(C9/24/6)*V9</f>
        <v>2277138.8888888885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52062.5</v>
      </c>
      <c r="G10" s="139"/>
      <c r="H10" s="53">
        <f>H9</f>
        <v>14</v>
      </c>
      <c r="I10" s="54">
        <f>I9</f>
        <v>14</v>
      </c>
      <c r="J10" s="54">
        <f t="shared" ref="J10:U10" si="6">J9</f>
        <v>14</v>
      </c>
      <c r="K10" s="54">
        <f t="shared" si="6"/>
        <v>14</v>
      </c>
      <c r="L10" s="54">
        <f t="shared" si="6"/>
        <v>14</v>
      </c>
      <c r="M10" s="54">
        <f t="shared" si="6"/>
        <v>14</v>
      </c>
      <c r="N10" s="54">
        <f t="shared" si="6"/>
        <v>14</v>
      </c>
      <c r="O10" s="54">
        <f t="shared" si="6"/>
        <v>14</v>
      </c>
      <c r="P10" s="54">
        <f t="shared" si="6"/>
        <v>14</v>
      </c>
      <c r="Q10" s="54">
        <f>Q9</f>
        <v>14</v>
      </c>
      <c r="R10" s="54">
        <f>R9</f>
        <v>14</v>
      </c>
      <c r="S10" s="54">
        <f t="shared" si="6"/>
        <v>14</v>
      </c>
      <c r="T10" s="54">
        <f t="shared" si="6"/>
        <v>14</v>
      </c>
      <c r="U10" s="54">
        <f t="shared" si="6"/>
        <v>14</v>
      </c>
      <c r="V10" s="55">
        <f t="shared" si="3"/>
        <v>196</v>
      </c>
      <c r="W10" s="125"/>
      <c r="X10" s="30" t="s">
        <v>23</v>
      </c>
      <c r="Y10" s="31">
        <f t="shared" si="4"/>
        <v>154448</v>
      </c>
      <c r="Z10" s="32">
        <f t="shared" si="5"/>
        <v>1072555.5555555557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52062.5</v>
      </c>
      <c r="G11" s="139"/>
      <c r="H11" s="53">
        <f>H9</f>
        <v>14</v>
      </c>
      <c r="I11" s="54">
        <f>I9</f>
        <v>14</v>
      </c>
      <c r="J11" s="54">
        <f t="shared" ref="J11:U11" si="7">J9</f>
        <v>14</v>
      </c>
      <c r="K11" s="54">
        <f t="shared" si="7"/>
        <v>14</v>
      </c>
      <c r="L11" s="54">
        <f t="shared" si="7"/>
        <v>14</v>
      </c>
      <c r="M11" s="54">
        <f t="shared" si="7"/>
        <v>14</v>
      </c>
      <c r="N11" s="54">
        <f t="shared" si="7"/>
        <v>14</v>
      </c>
      <c r="O11" s="54">
        <f t="shared" si="7"/>
        <v>14</v>
      </c>
      <c r="P11" s="54">
        <f t="shared" si="7"/>
        <v>14</v>
      </c>
      <c r="Q11" s="54">
        <f>Q9</f>
        <v>14</v>
      </c>
      <c r="R11" s="54">
        <f>R9</f>
        <v>14</v>
      </c>
      <c r="S11" s="54">
        <f t="shared" si="7"/>
        <v>14</v>
      </c>
      <c r="T11" s="54">
        <f t="shared" si="7"/>
        <v>14</v>
      </c>
      <c r="U11" s="54">
        <f t="shared" si="7"/>
        <v>14</v>
      </c>
      <c r="V11" s="55">
        <f t="shared" si="3"/>
        <v>196</v>
      </c>
      <c r="W11" s="125"/>
      <c r="X11" s="30" t="s">
        <v>23</v>
      </c>
      <c r="Y11" s="31">
        <f t="shared" si="4"/>
        <v>166600</v>
      </c>
      <c r="Z11" s="32">
        <f t="shared" si="5"/>
        <v>1156944.4444444443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34708.333333333336</v>
      </c>
      <c r="G12" s="139"/>
      <c r="H12" s="53">
        <f t="shared" ref="H12:U13" si="8">H9</f>
        <v>14</v>
      </c>
      <c r="I12" s="54">
        <f t="shared" si="8"/>
        <v>14</v>
      </c>
      <c r="J12" s="54">
        <f t="shared" si="8"/>
        <v>14</v>
      </c>
      <c r="K12" s="54">
        <f t="shared" si="8"/>
        <v>14</v>
      </c>
      <c r="L12" s="54">
        <f t="shared" si="8"/>
        <v>14</v>
      </c>
      <c r="M12" s="54">
        <f t="shared" si="8"/>
        <v>14</v>
      </c>
      <c r="N12" s="54">
        <f t="shared" si="8"/>
        <v>14</v>
      </c>
      <c r="O12" s="54">
        <f t="shared" si="8"/>
        <v>14</v>
      </c>
      <c r="P12" s="54">
        <f t="shared" si="8"/>
        <v>14</v>
      </c>
      <c r="Q12" s="54">
        <f>Q9</f>
        <v>14</v>
      </c>
      <c r="R12" s="54">
        <f>R9</f>
        <v>14</v>
      </c>
      <c r="S12" s="54">
        <f t="shared" si="8"/>
        <v>14</v>
      </c>
      <c r="T12" s="54">
        <f t="shared" si="8"/>
        <v>14</v>
      </c>
      <c r="U12" s="54">
        <f t="shared" si="8"/>
        <v>14</v>
      </c>
      <c r="V12" s="55">
        <f t="shared" si="3"/>
        <v>196</v>
      </c>
      <c r="W12" s="125"/>
      <c r="X12" s="30" t="s">
        <v>23</v>
      </c>
      <c r="Y12" s="31">
        <f t="shared" si="4"/>
        <v>98196</v>
      </c>
      <c r="Z12" s="32">
        <f t="shared" si="5"/>
        <v>681916.66666666663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34708.333333333336</v>
      </c>
      <c r="G13" s="139"/>
      <c r="H13" s="53">
        <f t="shared" si="8"/>
        <v>14</v>
      </c>
      <c r="I13" s="54">
        <f t="shared" si="8"/>
        <v>14</v>
      </c>
      <c r="J13" s="54">
        <f t="shared" si="8"/>
        <v>14</v>
      </c>
      <c r="K13" s="54">
        <f t="shared" si="8"/>
        <v>14</v>
      </c>
      <c r="L13" s="54">
        <f t="shared" si="8"/>
        <v>14</v>
      </c>
      <c r="M13" s="54">
        <f t="shared" si="8"/>
        <v>14</v>
      </c>
      <c r="N13" s="54">
        <f t="shared" si="8"/>
        <v>14</v>
      </c>
      <c r="O13" s="54">
        <f t="shared" si="8"/>
        <v>14</v>
      </c>
      <c r="P13" s="54">
        <f t="shared" si="8"/>
        <v>14</v>
      </c>
      <c r="Q13" s="54">
        <f>Q9</f>
        <v>14</v>
      </c>
      <c r="R13" s="54">
        <f>R9</f>
        <v>14</v>
      </c>
      <c r="S13" s="54">
        <f t="shared" si="8"/>
        <v>14</v>
      </c>
      <c r="T13" s="54">
        <f t="shared" si="8"/>
        <v>14</v>
      </c>
      <c r="U13" s="54">
        <f t="shared" si="8"/>
        <v>14</v>
      </c>
      <c r="V13" s="55">
        <f t="shared" si="3"/>
        <v>196</v>
      </c>
      <c r="W13" s="125"/>
      <c r="X13" s="30" t="s">
        <v>23</v>
      </c>
      <c r="Y13" s="31">
        <f t="shared" si="4"/>
        <v>98588</v>
      </c>
      <c r="Z13" s="32">
        <f t="shared" si="5"/>
        <v>684638.88888888888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21692.708333333336</v>
      </c>
      <c r="G14" s="139"/>
      <c r="H14" s="66">
        <f>H9</f>
        <v>14</v>
      </c>
      <c r="I14" s="67">
        <f>I9</f>
        <v>14</v>
      </c>
      <c r="J14" s="67">
        <f t="shared" ref="J14:U14" si="9">J9</f>
        <v>14</v>
      </c>
      <c r="K14" s="67">
        <f t="shared" si="9"/>
        <v>14</v>
      </c>
      <c r="L14" s="67">
        <f t="shared" si="9"/>
        <v>14</v>
      </c>
      <c r="M14" s="67">
        <f t="shared" si="9"/>
        <v>14</v>
      </c>
      <c r="N14" s="67">
        <f t="shared" si="9"/>
        <v>14</v>
      </c>
      <c r="O14" s="67">
        <f t="shared" si="9"/>
        <v>14</v>
      </c>
      <c r="P14" s="67">
        <f t="shared" si="9"/>
        <v>14</v>
      </c>
      <c r="Q14" s="67">
        <f>Q9</f>
        <v>14</v>
      </c>
      <c r="R14" s="67">
        <f>R9</f>
        <v>14</v>
      </c>
      <c r="S14" s="67">
        <f t="shared" si="9"/>
        <v>14</v>
      </c>
      <c r="T14" s="67">
        <f t="shared" si="9"/>
        <v>14</v>
      </c>
      <c r="U14" s="67">
        <f t="shared" si="9"/>
        <v>14</v>
      </c>
      <c r="V14" s="68">
        <f t="shared" si="3"/>
        <v>196</v>
      </c>
      <c r="W14" s="125"/>
      <c r="X14" s="30" t="s">
        <v>23</v>
      </c>
      <c r="Y14" s="31">
        <f t="shared" si="4"/>
        <v>35672</v>
      </c>
      <c r="Z14" s="32">
        <f t="shared" si="5"/>
        <v>247722.22222222222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20秒</v>
      </c>
      <c r="F15" s="58">
        <f>150000/1008*V15*W7</f>
        <v>85416.666666666657</v>
      </c>
      <c r="G15" s="139"/>
      <c r="H15" s="59">
        <v>21</v>
      </c>
      <c r="I15" s="60">
        <f>H15</f>
        <v>21</v>
      </c>
      <c r="J15" s="60">
        <f t="shared" ref="J15:U15" si="10">I15</f>
        <v>21</v>
      </c>
      <c r="K15" s="60">
        <f t="shared" si="10"/>
        <v>21</v>
      </c>
      <c r="L15" s="60">
        <f t="shared" si="10"/>
        <v>21</v>
      </c>
      <c r="M15" s="60">
        <f t="shared" si="10"/>
        <v>21</v>
      </c>
      <c r="N15" s="60">
        <f t="shared" si="10"/>
        <v>21</v>
      </c>
      <c r="O15" s="60">
        <v>20</v>
      </c>
      <c r="P15" s="60">
        <f>O15</f>
        <v>20</v>
      </c>
      <c r="Q15" s="60">
        <f t="shared" si="2"/>
        <v>20</v>
      </c>
      <c r="R15" s="60">
        <f>Q15</f>
        <v>20</v>
      </c>
      <c r="S15" s="60">
        <f>R15</f>
        <v>20</v>
      </c>
      <c r="T15" s="60">
        <f t="shared" si="10"/>
        <v>20</v>
      </c>
      <c r="U15" s="60">
        <f t="shared" si="10"/>
        <v>20</v>
      </c>
      <c r="V15" s="61">
        <f t="shared" si="3"/>
        <v>287</v>
      </c>
      <c r="W15" s="125">
        <f>120000/504*W7*V15</f>
        <v>136666.66666666666</v>
      </c>
      <c r="X15" s="30" t="s">
        <v>23</v>
      </c>
      <c r="Y15" s="31">
        <f t="shared" si="4"/>
        <v>346983</v>
      </c>
      <c r="Z15" s="32">
        <f t="shared" si="5"/>
        <v>2409604.166666667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68333.333333333328</v>
      </c>
      <c r="G16" s="139"/>
      <c r="H16" s="53">
        <f>H15</f>
        <v>21</v>
      </c>
      <c r="I16" s="54">
        <f>I15</f>
        <v>21</v>
      </c>
      <c r="J16" s="54">
        <f t="shared" ref="J16:U16" si="11">J15</f>
        <v>21</v>
      </c>
      <c r="K16" s="54">
        <f t="shared" si="11"/>
        <v>21</v>
      </c>
      <c r="L16" s="54">
        <f t="shared" si="11"/>
        <v>21</v>
      </c>
      <c r="M16" s="54">
        <f t="shared" si="11"/>
        <v>21</v>
      </c>
      <c r="N16" s="54">
        <f t="shared" si="11"/>
        <v>21</v>
      </c>
      <c r="O16" s="54">
        <f t="shared" si="11"/>
        <v>20</v>
      </c>
      <c r="P16" s="54">
        <f t="shared" si="11"/>
        <v>20</v>
      </c>
      <c r="Q16" s="54">
        <f>Q15</f>
        <v>20</v>
      </c>
      <c r="R16" s="54">
        <f>R15</f>
        <v>20</v>
      </c>
      <c r="S16" s="54">
        <f t="shared" si="11"/>
        <v>20</v>
      </c>
      <c r="T16" s="54">
        <f t="shared" si="11"/>
        <v>20</v>
      </c>
      <c r="U16" s="54">
        <f t="shared" si="11"/>
        <v>20</v>
      </c>
      <c r="V16" s="55">
        <f t="shared" si="3"/>
        <v>287</v>
      </c>
      <c r="W16" s="125"/>
      <c r="X16" s="30" t="s">
        <v>23</v>
      </c>
      <c r="Y16" s="31">
        <f t="shared" si="4"/>
        <v>189420</v>
      </c>
      <c r="Z16" s="32">
        <f t="shared" si="5"/>
        <v>1315416.6666666665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51250</v>
      </c>
      <c r="G17" s="139"/>
      <c r="H17" s="53">
        <f>H15</f>
        <v>21</v>
      </c>
      <c r="I17" s="54">
        <f>I15</f>
        <v>21</v>
      </c>
      <c r="J17" s="54">
        <f t="shared" ref="J17:U17" si="12">J15</f>
        <v>21</v>
      </c>
      <c r="K17" s="54">
        <f t="shared" si="12"/>
        <v>21</v>
      </c>
      <c r="L17" s="54">
        <f t="shared" si="12"/>
        <v>21</v>
      </c>
      <c r="M17" s="54">
        <f t="shared" si="12"/>
        <v>21</v>
      </c>
      <c r="N17" s="54">
        <f t="shared" si="12"/>
        <v>21</v>
      </c>
      <c r="O17" s="54">
        <f t="shared" si="12"/>
        <v>20</v>
      </c>
      <c r="P17" s="54">
        <f t="shared" si="12"/>
        <v>20</v>
      </c>
      <c r="Q17" s="54">
        <f>Q15</f>
        <v>20</v>
      </c>
      <c r="R17" s="54">
        <f>R15</f>
        <v>20</v>
      </c>
      <c r="S17" s="54">
        <f t="shared" si="12"/>
        <v>20</v>
      </c>
      <c r="T17" s="54">
        <f t="shared" si="12"/>
        <v>20</v>
      </c>
      <c r="U17" s="54">
        <f t="shared" si="12"/>
        <v>20</v>
      </c>
      <c r="V17" s="55">
        <f t="shared" si="3"/>
        <v>287</v>
      </c>
      <c r="W17" s="125"/>
      <c r="X17" s="30" t="s">
        <v>23</v>
      </c>
      <c r="Y17" s="31">
        <f t="shared" si="4"/>
        <v>166173</v>
      </c>
      <c r="Z17" s="32">
        <f t="shared" si="5"/>
        <v>1153979.1666666665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42708.333333333328</v>
      </c>
      <c r="G18" s="139"/>
      <c r="H18" s="53">
        <f t="shared" ref="H18:U19" si="13">H15</f>
        <v>21</v>
      </c>
      <c r="I18" s="54">
        <f t="shared" si="13"/>
        <v>21</v>
      </c>
      <c r="J18" s="54">
        <f t="shared" si="13"/>
        <v>21</v>
      </c>
      <c r="K18" s="54">
        <f t="shared" si="13"/>
        <v>21</v>
      </c>
      <c r="L18" s="54">
        <f t="shared" si="13"/>
        <v>21</v>
      </c>
      <c r="M18" s="54">
        <f t="shared" si="13"/>
        <v>21</v>
      </c>
      <c r="N18" s="54">
        <f t="shared" si="13"/>
        <v>21</v>
      </c>
      <c r="O18" s="54">
        <f t="shared" si="13"/>
        <v>20</v>
      </c>
      <c r="P18" s="54">
        <f t="shared" si="13"/>
        <v>20</v>
      </c>
      <c r="Q18" s="54">
        <f>Q15</f>
        <v>20</v>
      </c>
      <c r="R18" s="54">
        <f>R15</f>
        <v>20</v>
      </c>
      <c r="S18" s="54">
        <f t="shared" si="13"/>
        <v>20</v>
      </c>
      <c r="T18" s="54">
        <f t="shared" si="13"/>
        <v>20</v>
      </c>
      <c r="U18" s="54">
        <f t="shared" si="13"/>
        <v>20</v>
      </c>
      <c r="V18" s="55">
        <f t="shared" si="3"/>
        <v>287</v>
      </c>
      <c r="W18" s="125"/>
      <c r="X18" s="30" t="s">
        <v>23</v>
      </c>
      <c r="Y18" s="31">
        <f t="shared" si="4"/>
        <v>109060</v>
      </c>
      <c r="Z18" s="32">
        <f t="shared" si="5"/>
        <v>757361.11111111101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42708.333333333328</v>
      </c>
      <c r="G19" s="139"/>
      <c r="H19" s="53">
        <f t="shared" si="13"/>
        <v>21</v>
      </c>
      <c r="I19" s="54">
        <f t="shared" si="13"/>
        <v>21</v>
      </c>
      <c r="J19" s="54">
        <f t="shared" si="13"/>
        <v>21</v>
      </c>
      <c r="K19" s="54">
        <f t="shared" si="13"/>
        <v>21</v>
      </c>
      <c r="L19" s="54">
        <f t="shared" si="13"/>
        <v>21</v>
      </c>
      <c r="M19" s="54">
        <f t="shared" si="13"/>
        <v>21</v>
      </c>
      <c r="N19" s="54">
        <f t="shared" si="13"/>
        <v>21</v>
      </c>
      <c r="O19" s="54">
        <f t="shared" si="13"/>
        <v>20</v>
      </c>
      <c r="P19" s="54">
        <f t="shared" si="13"/>
        <v>20</v>
      </c>
      <c r="Q19" s="54">
        <f>Q15</f>
        <v>20</v>
      </c>
      <c r="R19" s="54">
        <f>R15</f>
        <v>20</v>
      </c>
      <c r="S19" s="54">
        <f t="shared" si="13"/>
        <v>20</v>
      </c>
      <c r="T19" s="54">
        <f t="shared" si="13"/>
        <v>20</v>
      </c>
      <c r="U19" s="54">
        <f t="shared" si="13"/>
        <v>20</v>
      </c>
      <c r="V19" s="55">
        <f t="shared" si="3"/>
        <v>287</v>
      </c>
      <c r="W19" s="125"/>
      <c r="X19" s="30" t="s">
        <v>23</v>
      </c>
      <c r="Y19" s="31">
        <f t="shared" si="4"/>
        <v>122836</v>
      </c>
      <c r="Z19" s="32">
        <f t="shared" si="5"/>
        <v>853027.77777777764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25625</v>
      </c>
      <c r="G20" s="140"/>
      <c r="H20" s="66">
        <f>H15</f>
        <v>21</v>
      </c>
      <c r="I20" s="67">
        <f>I15</f>
        <v>21</v>
      </c>
      <c r="J20" s="67">
        <f t="shared" ref="J20:U20" si="14">J15</f>
        <v>21</v>
      </c>
      <c r="K20" s="67">
        <f t="shared" si="14"/>
        <v>21</v>
      </c>
      <c r="L20" s="67">
        <f t="shared" si="14"/>
        <v>21</v>
      </c>
      <c r="M20" s="67">
        <f t="shared" si="14"/>
        <v>21</v>
      </c>
      <c r="N20" s="67">
        <f t="shared" si="14"/>
        <v>21</v>
      </c>
      <c r="O20" s="67">
        <f t="shared" si="14"/>
        <v>20</v>
      </c>
      <c r="P20" s="67">
        <f t="shared" si="14"/>
        <v>20</v>
      </c>
      <c r="Q20" s="67">
        <f>Q15</f>
        <v>20</v>
      </c>
      <c r="R20" s="67">
        <f>R15</f>
        <v>20</v>
      </c>
      <c r="S20" s="67">
        <f t="shared" si="14"/>
        <v>20</v>
      </c>
      <c r="T20" s="67">
        <f t="shared" si="14"/>
        <v>20</v>
      </c>
      <c r="U20" s="67">
        <f t="shared" si="14"/>
        <v>20</v>
      </c>
      <c r="V20" s="68">
        <f t="shared" si="3"/>
        <v>287</v>
      </c>
      <c r="W20" s="125"/>
      <c r="X20" s="30" t="s">
        <v>23</v>
      </c>
      <c r="Y20" s="31">
        <f t="shared" si="4"/>
        <v>26404</v>
      </c>
      <c r="Z20" s="32">
        <f t="shared" si="5"/>
        <v>183361.11111111112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598046.875</v>
      </c>
      <c r="G21" s="73">
        <f>SUM(G9:G17)</f>
        <v>250000</v>
      </c>
      <c r="H21" s="74">
        <f>SUM(H9:H20)</f>
        <v>210</v>
      </c>
      <c r="I21" s="74">
        <f>SUM(I9:I20)</f>
        <v>210</v>
      </c>
      <c r="J21" s="74">
        <f>SUM(J9:J20)</f>
        <v>210</v>
      </c>
      <c r="K21" s="74">
        <f>SUM(K9:K20)</f>
        <v>210</v>
      </c>
      <c r="L21" s="74">
        <f>SUM(L9:L20)</f>
        <v>210</v>
      </c>
      <c r="M21" s="74">
        <f>SUM(M9:M20)</f>
        <v>210</v>
      </c>
      <c r="N21" s="74">
        <f>SUM(N9:N20)</f>
        <v>210</v>
      </c>
      <c r="O21" s="74">
        <f>SUM(O9:O20)</f>
        <v>204</v>
      </c>
      <c r="P21" s="74">
        <f>SUM(P9:P20)</f>
        <v>204</v>
      </c>
      <c r="Q21" s="74">
        <f>SUM(Q9:Q20)</f>
        <v>204</v>
      </c>
      <c r="R21" s="74">
        <f>SUM(R9:R20)</f>
        <v>204</v>
      </c>
      <c r="S21" s="74">
        <f>SUM(S9:S20)</f>
        <v>204</v>
      </c>
      <c r="T21" s="74">
        <f>SUM(T9:T20)</f>
        <v>204</v>
      </c>
      <c r="U21" s="74">
        <f>SUM(U9:U20)</f>
        <v>204</v>
      </c>
      <c r="V21" s="75">
        <f>SUM(V7:V20)</f>
        <v>2898</v>
      </c>
      <c r="W21" s="126">
        <f>SUM(W9:W20)</f>
        <v>247733.33333333331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12500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262500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1842288</v>
      </c>
      <c r="Z24" s="21">
        <f>SUM(Z9:Z22)</f>
        <v>12793666.666666666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15A8-13FB-4B0F-988F-AFEE2FF62138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W22" sqref="W22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51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0.65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1.5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15秒</v>
      </c>
      <c r="F9" s="58">
        <f>250000/480*V9*W6</f>
        <v>85312.5</v>
      </c>
      <c r="G9" s="139">
        <v>250000</v>
      </c>
      <c r="H9" s="59">
        <v>18</v>
      </c>
      <c r="I9" s="60">
        <f>H9</f>
        <v>18</v>
      </c>
      <c r="J9" s="60">
        <f t="shared" ref="J9:U11" si="1">I9</f>
        <v>18</v>
      </c>
      <c r="K9" s="60">
        <f t="shared" si="1"/>
        <v>18</v>
      </c>
      <c r="L9" s="60">
        <f t="shared" si="1"/>
        <v>18</v>
      </c>
      <c r="M9" s="60">
        <f t="shared" si="1"/>
        <v>18</v>
      </c>
      <c r="N9" s="60">
        <f t="shared" si="1"/>
        <v>18</v>
      </c>
      <c r="O9" s="60">
        <f>N9</f>
        <v>18</v>
      </c>
      <c r="P9" s="60">
        <f t="shared" ref="P9:R15" si="2">O9</f>
        <v>18</v>
      </c>
      <c r="Q9" s="60">
        <f t="shared" si="2"/>
        <v>18</v>
      </c>
      <c r="R9" s="60">
        <f t="shared" si="2"/>
        <v>18</v>
      </c>
      <c r="S9" s="60">
        <f>R9</f>
        <v>18</v>
      </c>
      <c r="T9" s="60">
        <f t="shared" si="1"/>
        <v>18</v>
      </c>
      <c r="U9" s="60">
        <f t="shared" si="1"/>
        <v>18</v>
      </c>
      <c r="V9" s="61">
        <f t="shared" ref="V9:V20" si="3">SUM(H9:U9)</f>
        <v>252</v>
      </c>
      <c r="W9" s="125">
        <f>320000/480*W6*V9</f>
        <v>109200</v>
      </c>
      <c r="X9" s="30" t="s">
        <v>23</v>
      </c>
      <c r="Y9" s="31">
        <f t="shared" ref="Y9:Y20" si="4">V9*C9</f>
        <v>421596</v>
      </c>
      <c r="Z9" s="32">
        <f t="shared" ref="Z9:Z20" si="5">1000*(C9/24/6)*V9</f>
        <v>2927750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51187.5</v>
      </c>
      <c r="G10" s="139"/>
      <c r="H10" s="53">
        <f>H9</f>
        <v>18</v>
      </c>
      <c r="I10" s="54">
        <f>I9</f>
        <v>18</v>
      </c>
      <c r="J10" s="54">
        <f t="shared" ref="J10:U10" si="6">J9</f>
        <v>18</v>
      </c>
      <c r="K10" s="54">
        <f t="shared" si="6"/>
        <v>18</v>
      </c>
      <c r="L10" s="54">
        <f t="shared" si="6"/>
        <v>18</v>
      </c>
      <c r="M10" s="54">
        <f t="shared" si="6"/>
        <v>18</v>
      </c>
      <c r="N10" s="54">
        <f t="shared" si="6"/>
        <v>18</v>
      </c>
      <c r="O10" s="54">
        <f t="shared" si="6"/>
        <v>18</v>
      </c>
      <c r="P10" s="54">
        <f t="shared" si="6"/>
        <v>18</v>
      </c>
      <c r="Q10" s="54">
        <f>Q9</f>
        <v>18</v>
      </c>
      <c r="R10" s="54">
        <f>R9</f>
        <v>18</v>
      </c>
      <c r="S10" s="54">
        <f t="shared" si="6"/>
        <v>18</v>
      </c>
      <c r="T10" s="54">
        <f t="shared" si="6"/>
        <v>18</v>
      </c>
      <c r="U10" s="54">
        <f t="shared" si="6"/>
        <v>18</v>
      </c>
      <c r="V10" s="55">
        <f t="shared" si="3"/>
        <v>252</v>
      </c>
      <c r="W10" s="125"/>
      <c r="X10" s="30" t="s">
        <v>23</v>
      </c>
      <c r="Y10" s="31">
        <f t="shared" si="4"/>
        <v>198576</v>
      </c>
      <c r="Z10" s="32">
        <f t="shared" si="5"/>
        <v>1379000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51187.5</v>
      </c>
      <c r="G11" s="139"/>
      <c r="H11" s="53">
        <f>H9</f>
        <v>18</v>
      </c>
      <c r="I11" s="54">
        <f>I9</f>
        <v>18</v>
      </c>
      <c r="J11" s="54">
        <f t="shared" ref="J11:U11" si="7">J9</f>
        <v>18</v>
      </c>
      <c r="K11" s="54">
        <f t="shared" si="7"/>
        <v>18</v>
      </c>
      <c r="L11" s="54">
        <f t="shared" si="7"/>
        <v>18</v>
      </c>
      <c r="M11" s="54">
        <f t="shared" si="7"/>
        <v>18</v>
      </c>
      <c r="N11" s="54">
        <f t="shared" si="7"/>
        <v>18</v>
      </c>
      <c r="O11" s="54">
        <f t="shared" si="7"/>
        <v>18</v>
      </c>
      <c r="P11" s="54">
        <f t="shared" si="7"/>
        <v>18</v>
      </c>
      <c r="Q11" s="54">
        <f>Q9</f>
        <v>18</v>
      </c>
      <c r="R11" s="54">
        <f>R9</f>
        <v>18</v>
      </c>
      <c r="S11" s="54">
        <f t="shared" si="7"/>
        <v>18</v>
      </c>
      <c r="T11" s="54">
        <f t="shared" si="7"/>
        <v>18</v>
      </c>
      <c r="U11" s="54">
        <f t="shared" si="7"/>
        <v>18</v>
      </c>
      <c r="V11" s="55">
        <f t="shared" si="3"/>
        <v>252</v>
      </c>
      <c r="W11" s="125"/>
      <c r="X11" s="30" t="s">
        <v>23</v>
      </c>
      <c r="Y11" s="31">
        <f t="shared" si="4"/>
        <v>214200</v>
      </c>
      <c r="Z11" s="32">
        <f t="shared" si="5"/>
        <v>1487500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34125</v>
      </c>
      <c r="G12" s="139"/>
      <c r="H12" s="53">
        <f t="shared" ref="H12:U13" si="8">H9</f>
        <v>18</v>
      </c>
      <c r="I12" s="54">
        <f t="shared" si="8"/>
        <v>18</v>
      </c>
      <c r="J12" s="54">
        <f t="shared" si="8"/>
        <v>18</v>
      </c>
      <c r="K12" s="54">
        <f t="shared" si="8"/>
        <v>18</v>
      </c>
      <c r="L12" s="54">
        <f t="shared" si="8"/>
        <v>18</v>
      </c>
      <c r="M12" s="54">
        <f t="shared" si="8"/>
        <v>18</v>
      </c>
      <c r="N12" s="54">
        <f t="shared" si="8"/>
        <v>18</v>
      </c>
      <c r="O12" s="54">
        <f t="shared" si="8"/>
        <v>18</v>
      </c>
      <c r="P12" s="54">
        <f t="shared" si="8"/>
        <v>18</v>
      </c>
      <c r="Q12" s="54">
        <f>Q9</f>
        <v>18</v>
      </c>
      <c r="R12" s="54">
        <f>R9</f>
        <v>18</v>
      </c>
      <c r="S12" s="54">
        <f t="shared" si="8"/>
        <v>18</v>
      </c>
      <c r="T12" s="54">
        <f t="shared" si="8"/>
        <v>18</v>
      </c>
      <c r="U12" s="54">
        <f t="shared" si="8"/>
        <v>18</v>
      </c>
      <c r="V12" s="55">
        <f t="shared" si="3"/>
        <v>252</v>
      </c>
      <c r="W12" s="125"/>
      <c r="X12" s="30" t="s">
        <v>23</v>
      </c>
      <c r="Y12" s="31">
        <f t="shared" si="4"/>
        <v>126252</v>
      </c>
      <c r="Z12" s="32">
        <f t="shared" si="5"/>
        <v>876750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34125</v>
      </c>
      <c r="G13" s="139"/>
      <c r="H13" s="53">
        <f t="shared" si="8"/>
        <v>18</v>
      </c>
      <c r="I13" s="54">
        <f t="shared" si="8"/>
        <v>18</v>
      </c>
      <c r="J13" s="54">
        <f t="shared" si="8"/>
        <v>18</v>
      </c>
      <c r="K13" s="54">
        <f t="shared" si="8"/>
        <v>18</v>
      </c>
      <c r="L13" s="54">
        <f t="shared" si="8"/>
        <v>18</v>
      </c>
      <c r="M13" s="54">
        <f t="shared" si="8"/>
        <v>18</v>
      </c>
      <c r="N13" s="54">
        <f t="shared" si="8"/>
        <v>18</v>
      </c>
      <c r="O13" s="54">
        <f t="shared" si="8"/>
        <v>18</v>
      </c>
      <c r="P13" s="54">
        <f t="shared" si="8"/>
        <v>18</v>
      </c>
      <c r="Q13" s="54">
        <f>Q9</f>
        <v>18</v>
      </c>
      <c r="R13" s="54">
        <f>R9</f>
        <v>18</v>
      </c>
      <c r="S13" s="54">
        <f t="shared" si="8"/>
        <v>18</v>
      </c>
      <c r="T13" s="54">
        <f t="shared" si="8"/>
        <v>18</v>
      </c>
      <c r="U13" s="54">
        <f t="shared" si="8"/>
        <v>18</v>
      </c>
      <c r="V13" s="55">
        <f t="shared" si="3"/>
        <v>252</v>
      </c>
      <c r="W13" s="125"/>
      <c r="X13" s="30" t="s">
        <v>23</v>
      </c>
      <c r="Y13" s="31">
        <f t="shared" si="4"/>
        <v>126756</v>
      </c>
      <c r="Z13" s="32">
        <f t="shared" si="5"/>
        <v>880249.99999999988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21328.125</v>
      </c>
      <c r="G14" s="139"/>
      <c r="H14" s="66">
        <f>H9</f>
        <v>18</v>
      </c>
      <c r="I14" s="67">
        <f>I9</f>
        <v>18</v>
      </c>
      <c r="J14" s="67">
        <f t="shared" ref="J14:U14" si="9">J9</f>
        <v>18</v>
      </c>
      <c r="K14" s="67">
        <f t="shared" si="9"/>
        <v>18</v>
      </c>
      <c r="L14" s="67">
        <f t="shared" si="9"/>
        <v>18</v>
      </c>
      <c r="M14" s="67">
        <f t="shared" si="9"/>
        <v>18</v>
      </c>
      <c r="N14" s="67">
        <f t="shared" si="9"/>
        <v>18</v>
      </c>
      <c r="O14" s="67">
        <f t="shared" si="9"/>
        <v>18</v>
      </c>
      <c r="P14" s="67">
        <f t="shared" si="9"/>
        <v>18</v>
      </c>
      <c r="Q14" s="67">
        <f>Q9</f>
        <v>18</v>
      </c>
      <c r="R14" s="67">
        <f>R9</f>
        <v>18</v>
      </c>
      <c r="S14" s="67">
        <f t="shared" si="9"/>
        <v>18</v>
      </c>
      <c r="T14" s="67">
        <f t="shared" si="9"/>
        <v>18</v>
      </c>
      <c r="U14" s="67">
        <f t="shared" si="9"/>
        <v>18</v>
      </c>
      <c r="V14" s="68">
        <f t="shared" si="3"/>
        <v>252</v>
      </c>
      <c r="W14" s="125"/>
      <c r="X14" s="30" t="s">
        <v>23</v>
      </c>
      <c r="Y14" s="31">
        <f t="shared" si="4"/>
        <v>45864</v>
      </c>
      <c r="Z14" s="32">
        <f t="shared" si="5"/>
        <v>318500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15秒</v>
      </c>
      <c r="F15" s="58">
        <f>150000/1008*V15*W7</f>
        <v>87500</v>
      </c>
      <c r="G15" s="139"/>
      <c r="H15" s="59">
        <v>28</v>
      </c>
      <c r="I15" s="60">
        <f>H15</f>
        <v>28</v>
      </c>
      <c r="J15" s="60">
        <f t="shared" ref="J15:U15" si="10">I15</f>
        <v>28</v>
      </c>
      <c r="K15" s="60">
        <f t="shared" si="10"/>
        <v>28</v>
      </c>
      <c r="L15" s="60">
        <f t="shared" si="10"/>
        <v>28</v>
      </c>
      <c r="M15" s="60">
        <f t="shared" si="10"/>
        <v>28</v>
      </c>
      <c r="N15" s="60">
        <f t="shared" si="10"/>
        <v>28</v>
      </c>
      <c r="O15" s="60">
        <f>N15</f>
        <v>28</v>
      </c>
      <c r="P15" s="60">
        <f>O15</f>
        <v>28</v>
      </c>
      <c r="Q15" s="60">
        <f t="shared" si="2"/>
        <v>28</v>
      </c>
      <c r="R15" s="60">
        <f>Q15</f>
        <v>28</v>
      </c>
      <c r="S15" s="60">
        <f>R15</f>
        <v>28</v>
      </c>
      <c r="T15" s="60">
        <f t="shared" si="10"/>
        <v>28</v>
      </c>
      <c r="U15" s="60">
        <f t="shared" si="10"/>
        <v>28</v>
      </c>
      <c r="V15" s="61">
        <f t="shared" si="3"/>
        <v>392</v>
      </c>
      <c r="W15" s="125">
        <f>120000/504*W7*V15</f>
        <v>140000</v>
      </c>
      <c r="X15" s="30" t="s">
        <v>23</v>
      </c>
      <c r="Y15" s="31">
        <f t="shared" si="4"/>
        <v>473928</v>
      </c>
      <c r="Z15" s="32">
        <f t="shared" si="5"/>
        <v>3291166.666666667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70000</v>
      </c>
      <c r="G16" s="139"/>
      <c r="H16" s="53">
        <f>H15</f>
        <v>28</v>
      </c>
      <c r="I16" s="54">
        <f>I15</f>
        <v>28</v>
      </c>
      <c r="J16" s="54">
        <f t="shared" ref="J16:U16" si="11">J15</f>
        <v>28</v>
      </c>
      <c r="K16" s="54">
        <f t="shared" si="11"/>
        <v>28</v>
      </c>
      <c r="L16" s="54">
        <f t="shared" si="11"/>
        <v>28</v>
      </c>
      <c r="M16" s="54">
        <f t="shared" si="11"/>
        <v>28</v>
      </c>
      <c r="N16" s="54">
        <f t="shared" si="11"/>
        <v>28</v>
      </c>
      <c r="O16" s="54">
        <f t="shared" si="11"/>
        <v>28</v>
      </c>
      <c r="P16" s="54">
        <f t="shared" si="11"/>
        <v>28</v>
      </c>
      <c r="Q16" s="54">
        <f>Q15</f>
        <v>28</v>
      </c>
      <c r="R16" s="54">
        <f>R15</f>
        <v>28</v>
      </c>
      <c r="S16" s="54">
        <f t="shared" si="11"/>
        <v>28</v>
      </c>
      <c r="T16" s="54">
        <f t="shared" si="11"/>
        <v>28</v>
      </c>
      <c r="U16" s="54">
        <f t="shared" si="11"/>
        <v>28</v>
      </c>
      <c r="V16" s="55">
        <f t="shared" si="3"/>
        <v>392</v>
      </c>
      <c r="W16" s="125"/>
      <c r="X16" s="30" t="s">
        <v>23</v>
      </c>
      <c r="Y16" s="31">
        <f t="shared" si="4"/>
        <v>258720</v>
      </c>
      <c r="Z16" s="32">
        <f t="shared" si="5"/>
        <v>1796666.6666666665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52500</v>
      </c>
      <c r="G17" s="139"/>
      <c r="H17" s="53">
        <f>H15</f>
        <v>28</v>
      </c>
      <c r="I17" s="54">
        <f>I15</f>
        <v>28</v>
      </c>
      <c r="J17" s="54">
        <f t="shared" ref="J17:U17" si="12">J15</f>
        <v>28</v>
      </c>
      <c r="K17" s="54">
        <f t="shared" si="12"/>
        <v>28</v>
      </c>
      <c r="L17" s="54">
        <f t="shared" si="12"/>
        <v>28</v>
      </c>
      <c r="M17" s="54">
        <f t="shared" si="12"/>
        <v>28</v>
      </c>
      <c r="N17" s="54">
        <f t="shared" si="12"/>
        <v>28</v>
      </c>
      <c r="O17" s="54">
        <f t="shared" si="12"/>
        <v>28</v>
      </c>
      <c r="P17" s="54">
        <f t="shared" si="12"/>
        <v>28</v>
      </c>
      <c r="Q17" s="54">
        <f>Q15</f>
        <v>28</v>
      </c>
      <c r="R17" s="54">
        <f>R15</f>
        <v>28</v>
      </c>
      <c r="S17" s="54">
        <f t="shared" si="12"/>
        <v>28</v>
      </c>
      <c r="T17" s="54">
        <f t="shared" si="12"/>
        <v>28</v>
      </c>
      <c r="U17" s="54">
        <f t="shared" si="12"/>
        <v>28</v>
      </c>
      <c r="V17" s="55">
        <f t="shared" si="3"/>
        <v>392</v>
      </c>
      <c r="W17" s="125"/>
      <c r="X17" s="30" t="s">
        <v>23</v>
      </c>
      <c r="Y17" s="31">
        <f t="shared" si="4"/>
        <v>226968</v>
      </c>
      <c r="Z17" s="32">
        <f t="shared" si="5"/>
        <v>1576166.6666666665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43750</v>
      </c>
      <c r="G18" s="139"/>
      <c r="H18" s="53">
        <f t="shared" ref="H18:U19" si="13">H15</f>
        <v>28</v>
      </c>
      <c r="I18" s="54">
        <f t="shared" si="13"/>
        <v>28</v>
      </c>
      <c r="J18" s="54">
        <f t="shared" si="13"/>
        <v>28</v>
      </c>
      <c r="K18" s="54">
        <f t="shared" si="13"/>
        <v>28</v>
      </c>
      <c r="L18" s="54">
        <f t="shared" si="13"/>
        <v>28</v>
      </c>
      <c r="M18" s="54">
        <f t="shared" si="13"/>
        <v>28</v>
      </c>
      <c r="N18" s="54">
        <f t="shared" si="13"/>
        <v>28</v>
      </c>
      <c r="O18" s="54">
        <f t="shared" si="13"/>
        <v>28</v>
      </c>
      <c r="P18" s="54">
        <f t="shared" si="13"/>
        <v>28</v>
      </c>
      <c r="Q18" s="54">
        <f>Q15</f>
        <v>28</v>
      </c>
      <c r="R18" s="54">
        <f>R15</f>
        <v>28</v>
      </c>
      <c r="S18" s="54">
        <f t="shared" si="13"/>
        <v>28</v>
      </c>
      <c r="T18" s="54">
        <f t="shared" si="13"/>
        <v>28</v>
      </c>
      <c r="U18" s="54">
        <f t="shared" si="13"/>
        <v>28</v>
      </c>
      <c r="V18" s="55">
        <f t="shared" si="3"/>
        <v>392</v>
      </c>
      <c r="W18" s="125"/>
      <c r="X18" s="30" t="s">
        <v>23</v>
      </c>
      <c r="Y18" s="31">
        <f t="shared" si="4"/>
        <v>148960</v>
      </c>
      <c r="Z18" s="32">
        <f t="shared" si="5"/>
        <v>1034444.4444444444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43750</v>
      </c>
      <c r="G19" s="139"/>
      <c r="H19" s="53">
        <f t="shared" si="13"/>
        <v>28</v>
      </c>
      <c r="I19" s="54">
        <f t="shared" si="13"/>
        <v>28</v>
      </c>
      <c r="J19" s="54">
        <f t="shared" si="13"/>
        <v>28</v>
      </c>
      <c r="K19" s="54">
        <f t="shared" si="13"/>
        <v>28</v>
      </c>
      <c r="L19" s="54">
        <f t="shared" si="13"/>
        <v>28</v>
      </c>
      <c r="M19" s="54">
        <f t="shared" si="13"/>
        <v>28</v>
      </c>
      <c r="N19" s="54">
        <f t="shared" si="13"/>
        <v>28</v>
      </c>
      <c r="O19" s="54">
        <f t="shared" si="13"/>
        <v>28</v>
      </c>
      <c r="P19" s="54">
        <f t="shared" si="13"/>
        <v>28</v>
      </c>
      <c r="Q19" s="54">
        <f>Q15</f>
        <v>28</v>
      </c>
      <c r="R19" s="54">
        <f>R15</f>
        <v>28</v>
      </c>
      <c r="S19" s="54">
        <f t="shared" si="13"/>
        <v>28</v>
      </c>
      <c r="T19" s="54">
        <f t="shared" si="13"/>
        <v>28</v>
      </c>
      <c r="U19" s="54">
        <f t="shared" si="13"/>
        <v>28</v>
      </c>
      <c r="V19" s="55">
        <f t="shared" si="3"/>
        <v>392</v>
      </c>
      <c r="W19" s="125"/>
      <c r="X19" s="30" t="s">
        <v>23</v>
      </c>
      <c r="Y19" s="31">
        <f t="shared" si="4"/>
        <v>167776</v>
      </c>
      <c r="Z19" s="32">
        <f t="shared" si="5"/>
        <v>1165111.111111111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26250</v>
      </c>
      <c r="G20" s="140"/>
      <c r="H20" s="66">
        <f>H15</f>
        <v>28</v>
      </c>
      <c r="I20" s="67">
        <f>I15</f>
        <v>28</v>
      </c>
      <c r="J20" s="67">
        <f t="shared" ref="J20:U20" si="14">J15</f>
        <v>28</v>
      </c>
      <c r="K20" s="67">
        <f t="shared" si="14"/>
        <v>28</v>
      </c>
      <c r="L20" s="67">
        <f t="shared" si="14"/>
        <v>28</v>
      </c>
      <c r="M20" s="67">
        <f t="shared" si="14"/>
        <v>28</v>
      </c>
      <c r="N20" s="67">
        <f t="shared" si="14"/>
        <v>28</v>
      </c>
      <c r="O20" s="67">
        <f t="shared" si="14"/>
        <v>28</v>
      </c>
      <c r="P20" s="67">
        <f t="shared" si="14"/>
        <v>28</v>
      </c>
      <c r="Q20" s="67">
        <f>Q15</f>
        <v>28</v>
      </c>
      <c r="R20" s="67">
        <f>R15</f>
        <v>28</v>
      </c>
      <c r="S20" s="67">
        <f t="shared" si="14"/>
        <v>28</v>
      </c>
      <c r="T20" s="67">
        <f t="shared" si="14"/>
        <v>28</v>
      </c>
      <c r="U20" s="67">
        <f t="shared" si="14"/>
        <v>28</v>
      </c>
      <c r="V20" s="68">
        <f t="shared" si="3"/>
        <v>392</v>
      </c>
      <c r="W20" s="125"/>
      <c r="X20" s="30" t="s">
        <v>23</v>
      </c>
      <c r="Y20" s="31">
        <f t="shared" si="4"/>
        <v>36064</v>
      </c>
      <c r="Z20" s="32">
        <f t="shared" si="5"/>
        <v>250444.44444444447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601015.625</v>
      </c>
      <c r="G21" s="73">
        <f>SUM(G9:G17)</f>
        <v>250000</v>
      </c>
      <c r="H21" s="74">
        <f>SUM(H9:H20)</f>
        <v>276</v>
      </c>
      <c r="I21" s="74">
        <f>SUM(I9:I20)</f>
        <v>276</v>
      </c>
      <c r="J21" s="74">
        <f>SUM(J9:J20)</f>
        <v>276</v>
      </c>
      <c r="K21" s="74">
        <f>SUM(K9:K20)</f>
        <v>276</v>
      </c>
      <c r="L21" s="74">
        <f>SUM(L9:L20)</f>
        <v>276</v>
      </c>
      <c r="M21" s="74">
        <f>SUM(M9:M20)</f>
        <v>276</v>
      </c>
      <c r="N21" s="74">
        <f>SUM(N9:N20)</f>
        <v>276</v>
      </c>
      <c r="O21" s="74">
        <f>SUM(O9:O20)</f>
        <v>276</v>
      </c>
      <c r="P21" s="74">
        <f>SUM(P9:P20)</f>
        <v>276</v>
      </c>
      <c r="Q21" s="74">
        <f>SUM(Q9:Q20)</f>
        <v>276</v>
      </c>
      <c r="R21" s="74">
        <f>SUM(R9:R20)</f>
        <v>276</v>
      </c>
      <c r="S21" s="74">
        <f>SUM(S9:S20)</f>
        <v>276</v>
      </c>
      <c r="T21" s="74">
        <f>SUM(T9:T20)</f>
        <v>276</v>
      </c>
      <c r="U21" s="74">
        <f>SUM(U9:U20)</f>
        <v>276</v>
      </c>
      <c r="V21" s="75">
        <f>SUM(V7:V20)</f>
        <v>3864</v>
      </c>
      <c r="W21" s="126">
        <f>SUM(W9:W20)</f>
        <v>249200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12500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262500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2445660</v>
      </c>
      <c r="Z24" s="21">
        <f>SUM(Z9:Z22)</f>
        <v>16983750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58E5-A3EB-48AE-89A5-8D99CA883F90}">
  <sheetPr>
    <tabColor rgb="FFFFFF00"/>
    <pageSetUpPr fitToPage="1"/>
  </sheetPr>
  <dimension ref="A1:AB36"/>
  <sheetViews>
    <sheetView showGridLines="0" tabSelected="1" view="pageBreakPreview" zoomScale="35" zoomScaleNormal="60" zoomScaleSheetLayoutView="35" zoomScalePageLayoutView="75" workbookViewId="0">
      <selection activeCell="I9" sqref="I9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50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1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10秒</v>
      </c>
      <c r="F9" s="58">
        <f>250000/480*V9*W6</f>
        <v>83854.166666666672</v>
      </c>
      <c r="G9" s="139">
        <v>250000</v>
      </c>
      <c r="H9" s="59">
        <v>23</v>
      </c>
      <c r="I9" s="60">
        <f>H9</f>
        <v>23</v>
      </c>
      <c r="J9" s="60">
        <f t="shared" ref="J9:U11" si="1">I9</f>
        <v>23</v>
      </c>
      <c r="K9" s="60">
        <f t="shared" si="1"/>
        <v>23</v>
      </c>
      <c r="L9" s="60">
        <f t="shared" si="1"/>
        <v>23</v>
      </c>
      <c r="M9" s="60">
        <f t="shared" si="1"/>
        <v>23</v>
      </c>
      <c r="N9" s="60">
        <f t="shared" si="1"/>
        <v>23</v>
      </c>
      <c r="O9" s="60">
        <f>N9</f>
        <v>23</v>
      </c>
      <c r="P9" s="60">
        <f t="shared" ref="P9:R15" si="2">O9</f>
        <v>23</v>
      </c>
      <c r="Q9" s="60">
        <f t="shared" si="2"/>
        <v>23</v>
      </c>
      <c r="R9" s="60">
        <f t="shared" si="2"/>
        <v>23</v>
      </c>
      <c r="S9" s="60">
        <f>R9</f>
        <v>23</v>
      </c>
      <c r="T9" s="60">
        <f t="shared" si="1"/>
        <v>23</v>
      </c>
      <c r="U9" s="60">
        <f t="shared" si="1"/>
        <v>23</v>
      </c>
      <c r="V9" s="61">
        <f t="shared" ref="V9:V20" si="3">SUM(H9:U9)</f>
        <v>322</v>
      </c>
      <c r="W9" s="125">
        <f>320000/480*W6*V9</f>
        <v>107333.33333333333</v>
      </c>
      <c r="X9" s="30" t="s">
        <v>23</v>
      </c>
      <c r="Y9" s="31">
        <f t="shared" ref="Y9:Y20" si="4">V9*C9</f>
        <v>538706</v>
      </c>
      <c r="Z9" s="32">
        <f t="shared" ref="Z9:Z20" si="5">1000*(C9/24/6)*V9</f>
        <v>3741013.8888888885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50312.5</v>
      </c>
      <c r="G10" s="139"/>
      <c r="H10" s="53">
        <f>H9</f>
        <v>23</v>
      </c>
      <c r="I10" s="54">
        <f>I9</f>
        <v>23</v>
      </c>
      <c r="J10" s="54">
        <f t="shared" ref="J10:U10" si="6">J9</f>
        <v>23</v>
      </c>
      <c r="K10" s="54">
        <f t="shared" si="6"/>
        <v>23</v>
      </c>
      <c r="L10" s="54">
        <f t="shared" si="6"/>
        <v>23</v>
      </c>
      <c r="M10" s="54">
        <f t="shared" si="6"/>
        <v>23</v>
      </c>
      <c r="N10" s="54">
        <f t="shared" si="6"/>
        <v>23</v>
      </c>
      <c r="O10" s="54">
        <f t="shared" si="6"/>
        <v>23</v>
      </c>
      <c r="P10" s="54">
        <f t="shared" si="6"/>
        <v>23</v>
      </c>
      <c r="Q10" s="54">
        <f>Q9</f>
        <v>23</v>
      </c>
      <c r="R10" s="54">
        <f>R9</f>
        <v>23</v>
      </c>
      <c r="S10" s="54">
        <f t="shared" si="6"/>
        <v>23</v>
      </c>
      <c r="T10" s="54">
        <f t="shared" si="6"/>
        <v>23</v>
      </c>
      <c r="U10" s="54">
        <f t="shared" si="6"/>
        <v>23</v>
      </c>
      <c r="V10" s="55">
        <f t="shared" si="3"/>
        <v>322</v>
      </c>
      <c r="W10" s="125"/>
      <c r="X10" s="30" t="s">
        <v>23</v>
      </c>
      <c r="Y10" s="31">
        <f t="shared" si="4"/>
        <v>253736</v>
      </c>
      <c r="Z10" s="32">
        <f t="shared" si="5"/>
        <v>1762055.5555555557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50312.5</v>
      </c>
      <c r="G11" s="139"/>
      <c r="H11" s="53">
        <f>H9</f>
        <v>23</v>
      </c>
      <c r="I11" s="54">
        <f>I9</f>
        <v>23</v>
      </c>
      <c r="J11" s="54">
        <f t="shared" ref="J11:U11" si="7">J9</f>
        <v>23</v>
      </c>
      <c r="K11" s="54">
        <f t="shared" si="7"/>
        <v>23</v>
      </c>
      <c r="L11" s="54">
        <f t="shared" si="7"/>
        <v>23</v>
      </c>
      <c r="M11" s="54">
        <f t="shared" si="7"/>
        <v>23</v>
      </c>
      <c r="N11" s="54">
        <f t="shared" si="7"/>
        <v>23</v>
      </c>
      <c r="O11" s="54">
        <f t="shared" si="7"/>
        <v>23</v>
      </c>
      <c r="P11" s="54">
        <f t="shared" si="7"/>
        <v>23</v>
      </c>
      <c r="Q11" s="54">
        <f>Q9</f>
        <v>23</v>
      </c>
      <c r="R11" s="54">
        <f>R9</f>
        <v>23</v>
      </c>
      <c r="S11" s="54">
        <f t="shared" si="7"/>
        <v>23</v>
      </c>
      <c r="T11" s="54">
        <f t="shared" si="7"/>
        <v>23</v>
      </c>
      <c r="U11" s="54">
        <f t="shared" si="7"/>
        <v>23</v>
      </c>
      <c r="V11" s="55">
        <f t="shared" si="3"/>
        <v>322</v>
      </c>
      <c r="W11" s="125"/>
      <c r="X11" s="30" t="s">
        <v>23</v>
      </c>
      <c r="Y11" s="31">
        <f t="shared" si="4"/>
        <v>273700</v>
      </c>
      <c r="Z11" s="32">
        <f t="shared" si="5"/>
        <v>1900694.4444444443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33541.666666666672</v>
      </c>
      <c r="G12" s="139"/>
      <c r="H12" s="53">
        <f t="shared" ref="H12:U13" si="8">H9</f>
        <v>23</v>
      </c>
      <c r="I12" s="54">
        <f t="shared" si="8"/>
        <v>23</v>
      </c>
      <c r="J12" s="54">
        <f t="shared" si="8"/>
        <v>23</v>
      </c>
      <c r="K12" s="54">
        <f t="shared" si="8"/>
        <v>23</v>
      </c>
      <c r="L12" s="54">
        <f t="shared" si="8"/>
        <v>23</v>
      </c>
      <c r="M12" s="54">
        <f t="shared" si="8"/>
        <v>23</v>
      </c>
      <c r="N12" s="54">
        <f t="shared" si="8"/>
        <v>23</v>
      </c>
      <c r="O12" s="54">
        <f t="shared" si="8"/>
        <v>23</v>
      </c>
      <c r="P12" s="54">
        <f t="shared" si="8"/>
        <v>23</v>
      </c>
      <c r="Q12" s="54">
        <f>Q9</f>
        <v>23</v>
      </c>
      <c r="R12" s="54">
        <f>R9</f>
        <v>23</v>
      </c>
      <c r="S12" s="54">
        <f t="shared" si="8"/>
        <v>23</v>
      </c>
      <c r="T12" s="54">
        <f t="shared" si="8"/>
        <v>23</v>
      </c>
      <c r="U12" s="54">
        <f t="shared" si="8"/>
        <v>23</v>
      </c>
      <c r="V12" s="55">
        <f t="shared" si="3"/>
        <v>322</v>
      </c>
      <c r="W12" s="125"/>
      <c r="X12" s="30" t="s">
        <v>23</v>
      </c>
      <c r="Y12" s="31">
        <f t="shared" si="4"/>
        <v>161322</v>
      </c>
      <c r="Z12" s="32">
        <f t="shared" si="5"/>
        <v>1120291.6666666665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33541.666666666672</v>
      </c>
      <c r="G13" s="139"/>
      <c r="H13" s="53">
        <f t="shared" si="8"/>
        <v>23</v>
      </c>
      <c r="I13" s="54">
        <f t="shared" si="8"/>
        <v>23</v>
      </c>
      <c r="J13" s="54">
        <f t="shared" si="8"/>
        <v>23</v>
      </c>
      <c r="K13" s="54">
        <f t="shared" si="8"/>
        <v>23</v>
      </c>
      <c r="L13" s="54">
        <f t="shared" si="8"/>
        <v>23</v>
      </c>
      <c r="M13" s="54">
        <f t="shared" si="8"/>
        <v>23</v>
      </c>
      <c r="N13" s="54">
        <f t="shared" si="8"/>
        <v>23</v>
      </c>
      <c r="O13" s="54">
        <f t="shared" si="8"/>
        <v>23</v>
      </c>
      <c r="P13" s="54">
        <f t="shared" si="8"/>
        <v>23</v>
      </c>
      <c r="Q13" s="54">
        <f>Q9</f>
        <v>23</v>
      </c>
      <c r="R13" s="54">
        <f>R9</f>
        <v>23</v>
      </c>
      <c r="S13" s="54">
        <f t="shared" si="8"/>
        <v>23</v>
      </c>
      <c r="T13" s="54">
        <f t="shared" si="8"/>
        <v>23</v>
      </c>
      <c r="U13" s="54">
        <f t="shared" si="8"/>
        <v>23</v>
      </c>
      <c r="V13" s="55">
        <f t="shared" si="3"/>
        <v>322</v>
      </c>
      <c r="W13" s="125"/>
      <c r="X13" s="30" t="s">
        <v>23</v>
      </c>
      <c r="Y13" s="31">
        <f t="shared" si="4"/>
        <v>161966</v>
      </c>
      <c r="Z13" s="32">
        <f t="shared" si="5"/>
        <v>1124763.8888888888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20963.541666666668</v>
      </c>
      <c r="G14" s="139"/>
      <c r="H14" s="66">
        <f>H9</f>
        <v>23</v>
      </c>
      <c r="I14" s="67">
        <f>I9</f>
        <v>23</v>
      </c>
      <c r="J14" s="67">
        <f t="shared" ref="J14:U14" si="9">J9</f>
        <v>23</v>
      </c>
      <c r="K14" s="67">
        <f t="shared" si="9"/>
        <v>23</v>
      </c>
      <c r="L14" s="67">
        <f t="shared" si="9"/>
        <v>23</v>
      </c>
      <c r="M14" s="67">
        <f t="shared" si="9"/>
        <v>23</v>
      </c>
      <c r="N14" s="67">
        <f t="shared" si="9"/>
        <v>23</v>
      </c>
      <c r="O14" s="67">
        <f t="shared" si="9"/>
        <v>23</v>
      </c>
      <c r="P14" s="67">
        <f t="shared" si="9"/>
        <v>23</v>
      </c>
      <c r="Q14" s="67">
        <f>Q9</f>
        <v>23</v>
      </c>
      <c r="R14" s="67">
        <f>R9</f>
        <v>23</v>
      </c>
      <c r="S14" s="67">
        <f t="shared" si="9"/>
        <v>23</v>
      </c>
      <c r="T14" s="67">
        <f t="shared" si="9"/>
        <v>23</v>
      </c>
      <c r="U14" s="67">
        <f t="shared" si="9"/>
        <v>23</v>
      </c>
      <c r="V14" s="68">
        <f t="shared" si="3"/>
        <v>322</v>
      </c>
      <c r="W14" s="125"/>
      <c r="X14" s="30" t="s">
        <v>23</v>
      </c>
      <c r="Y14" s="31">
        <f t="shared" si="4"/>
        <v>58604</v>
      </c>
      <c r="Z14" s="32">
        <f t="shared" si="5"/>
        <v>406972.22222222225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10秒</v>
      </c>
      <c r="F15" s="58">
        <f>150000/1008*V15*W7</f>
        <v>87499.999999999985</v>
      </c>
      <c r="G15" s="139"/>
      <c r="H15" s="59">
        <v>42</v>
      </c>
      <c r="I15" s="60">
        <f>H15</f>
        <v>42</v>
      </c>
      <c r="J15" s="60">
        <f t="shared" ref="J15:U15" si="10">I15</f>
        <v>42</v>
      </c>
      <c r="K15" s="60">
        <f t="shared" si="10"/>
        <v>42</v>
      </c>
      <c r="L15" s="60">
        <f t="shared" si="10"/>
        <v>42</v>
      </c>
      <c r="M15" s="60">
        <f t="shared" si="10"/>
        <v>42</v>
      </c>
      <c r="N15" s="60">
        <f t="shared" si="10"/>
        <v>42</v>
      </c>
      <c r="O15" s="60">
        <f>N15</f>
        <v>42</v>
      </c>
      <c r="P15" s="60">
        <f>O15</f>
        <v>42</v>
      </c>
      <c r="Q15" s="60">
        <f t="shared" si="2"/>
        <v>42</v>
      </c>
      <c r="R15" s="60">
        <f>Q15</f>
        <v>42</v>
      </c>
      <c r="S15" s="60">
        <f>R15</f>
        <v>42</v>
      </c>
      <c r="T15" s="60">
        <f t="shared" si="10"/>
        <v>42</v>
      </c>
      <c r="U15" s="60">
        <f t="shared" si="10"/>
        <v>42</v>
      </c>
      <c r="V15" s="61">
        <f t="shared" si="3"/>
        <v>588</v>
      </c>
      <c r="W15" s="125">
        <f>120000/504*W7*V15</f>
        <v>140000</v>
      </c>
      <c r="X15" s="30" t="s">
        <v>23</v>
      </c>
      <c r="Y15" s="31">
        <f t="shared" si="4"/>
        <v>710892</v>
      </c>
      <c r="Z15" s="32">
        <f t="shared" si="5"/>
        <v>4936750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70000</v>
      </c>
      <c r="G16" s="139"/>
      <c r="H16" s="53">
        <f>H15</f>
        <v>42</v>
      </c>
      <c r="I16" s="54">
        <f>I15</f>
        <v>42</v>
      </c>
      <c r="J16" s="54">
        <f t="shared" ref="J16:U16" si="11">J15</f>
        <v>42</v>
      </c>
      <c r="K16" s="54">
        <f t="shared" si="11"/>
        <v>42</v>
      </c>
      <c r="L16" s="54">
        <f t="shared" si="11"/>
        <v>42</v>
      </c>
      <c r="M16" s="54">
        <f t="shared" si="11"/>
        <v>42</v>
      </c>
      <c r="N16" s="54">
        <f t="shared" si="11"/>
        <v>42</v>
      </c>
      <c r="O16" s="54">
        <f t="shared" si="11"/>
        <v>42</v>
      </c>
      <c r="P16" s="54">
        <f t="shared" si="11"/>
        <v>42</v>
      </c>
      <c r="Q16" s="54">
        <f>Q15</f>
        <v>42</v>
      </c>
      <c r="R16" s="54">
        <f>R15</f>
        <v>42</v>
      </c>
      <c r="S16" s="54">
        <f t="shared" si="11"/>
        <v>42</v>
      </c>
      <c r="T16" s="54">
        <f t="shared" si="11"/>
        <v>42</v>
      </c>
      <c r="U16" s="54">
        <f t="shared" si="11"/>
        <v>42</v>
      </c>
      <c r="V16" s="55">
        <f t="shared" si="3"/>
        <v>588</v>
      </c>
      <c r="W16" s="125"/>
      <c r="X16" s="30" t="s">
        <v>23</v>
      </c>
      <c r="Y16" s="31">
        <f t="shared" si="4"/>
        <v>388080</v>
      </c>
      <c r="Z16" s="32">
        <f t="shared" si="5"/>
        <v>2695000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52500</v>
      </c>
      <c r="G17" s="139"/>
      <c r="H17" s="53">
        <f>H15</f>
        <v>42</v>
      </c>
      <c r="I17" s="54">
        <f>I15</f>
        <v>42</v>
      </c>
      <c r="J17" s="54">
        <f t="shared" ref="J17:U17" si="12">J15</f>
        <v>42</v>
      </c>
      <c r="K17" s="54">
        <f t="shared" si="12"/>
        <v>42</v>
      </c>
      <c r="L17" s="54">
        <f t="shared" si="12"/>
        <v>42</v>
      </c>
      <c r="M17" s="54">
        <f t="shared" si="12"/>
        <v>42</v>
      </c>
      <c r="N17" s="54">
        <f t="shared" si="12"/>
        <v>42</v>
      </c>
      <c r="O17" s="54">
        <f t="shared" si="12"/>
        <v>42</v>
      </c>
      <c r="P17" s="54">
        <f t="shared" si="12"/>
        <v>42</v>
      </c>
      <c r="Q17" s="54">
        <f>Q15</f>
        <v>42</v>
      </c>
      <c r="R17" s="54">
        <f>R15</f>
        <v>42</v>
      </c>
      <c r="S17" s="54">
        <f t="shared" si="12"/>
        <v>42</v>
      </c>
      <c r="T17" s="54">
        <f t="shared" si="12"/>
        <v>42</v>
      </c>
      <c r="U17" s="54">
        <f t="shared" si="12"/>
        <v>42</v>
      </c>
      <c r="V17" s="55">
        <f t="shared" si="3"/>
        <v>588</v>
      </c>
      <c r="W17" s="125"/>
      <c r="X17" s="30" t="s">
        <v>23</v>
      </c>
      <c r="Y17" s="31">
        <f t="shared" si="4"/>
        <v>340452</v>
      </c>
      <c r="Z17" s="32">
        <f t="shared" si="5"/>
        <v>2364250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43749.999999999993</v>
      </c>
      <c r="G18" s="139"/>
      <c r="H18" s="53">
        <f t="shared" ref="H18:U19" si="13">H15</f>
        <v>42</v>
      </c>
      <c r="I18" s="54">
        <f t="shared" si="13"/>
        <v>42</v>
      </c>
      <c r="J18" s="54">
        <f t="shared" si="13"/>
        <v>42</v>
      </c>
      <c r="K18" s="54">
        <f t="shared" si="13"/>
        <v>42</v>
      </c>
      <c r="L18" s="54">
        <f t="shared" si="13"/>
        <v>42</v>
      </c>
      <c r="M18" s="54">
        <f t="shared" si="13"/>
        <v>42</v>
      </c>
      <c r="N18" s="54">
        <f t="shared" si="13"/>
        <v>42</v>
      </c>
      <c r="O18" s="54">
        <f t="shared" si="13"/>
        <v>42</v>
      </c>
      <c r="P18" s="54">
        <f t="shared" si="13"/>
        <v>42</v>
      </c>
      <c r="Q18" s="54">
        <f>Q15</f>
        <v>42</v>
      </c>
      <c r="R18" s="54">
        <f>R15</f>
        <v>42</v>
      </c>
      <c r="S18" s="54">
        <f t="shared" si="13"/>
        <v>42</v>
      </c>
      <c r="T18" s="54">
        <f t="shared" si="13"/>
        <v>42</v>
      </c>
      <c r="U18" s="54">
        <f t="shared" si="13"/>
        <v>42</v>
      </c>
      <c r="V18" s="55">
        <f t="shared" si="3"/>
        <v>588</v>
      </c>
      <c r="W18" s="125"/>
      <c r="X18" s="30" t="s">
        <v>23</v>
      </c>
      <c r="Y18" s="31">
        <f t="shared" si="4"/>
        <v>223440</v>
      </c>
      <c r="Z18" s="32">
        <f t="shared" si="5"/>
        <v>1551666.6666666665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43749.999999999993</v>
      </c>
      <c r="G19" s="139"/>
      <c r="H19" s="53">
        <f t="shared" si="13"/>
        <v>42</v>
      </c>
      <c r="I19" s="54">
        <f t="shared" si="13"/>
        <v>42</v>
      </c>
      <c r="J19" s="54">
        <f t="shared" si="13"/>
        <v>42</v>
      </c>
      <c r="K19" s="54">
        <f t="shared" si="13"/>
        <v>42</v>
      </c>
      <c r="L19" s="54">
        <f t="shared" si="13"/>
        <v>42</v>
      </c>
      <c r="M19" s="54">
        <f t="shared" si="13"/>
        <v>42</v>
      </c>
      <c r="N19" s="54">
        <f t="shared" si="13"/>
        <v>42</v>
      </c>
      <c r="O19" s="54">
        <f t="shared" si="13"/>
        <v>42</v>
      </c>
      <c r="P19" s="54">
        <f t="shared" si="13"/>
        <v>42</v>
      </c>
      <c r="Q19" s="54">
        <f>Q15</f>
        <v>42</v>
      </c>
      <c r="R19" s="54">
        <f>R15</f>
        <v>42</v>
      </c>
      <c r="S19" s="54">
        <f t="shared" si="13"/>
        <v>42</v>
      </c>
      <c r="T19" s="54">
        <f t="shared" si="13"/>
        <v>42</v>
      </c>
      <c r="U19" s="54">
        <f t="shared" si="13"/>
        <v>42</v>
      </c>
      <c r="V19" s="55">
        <f t="shared" si="3"/>
        <v>588</v>
      </c>
      <c r="W19" s="125"/>
      <c r="X19" s="30" t="s">
        <v>23</v>
      </c>
      <c r="Y19" s="31">
        <f t="shared" si="4"/>
        <v>251664</v>
      </c>
      <c r="Z19" s="32">
        <f t="shared" si="5"/>
        <v>1747666.6666666663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26250</v>
      </c>
      <c r="G20" s="140"/>
      <c r="H20" s="66">
        <f>H15</f>
        <v>42</v>
      </c>
      <c r="I20" s="67">
        <f>I15</f>
        <v>42</v>
      </c>
      <c r="J20" s="67">
        <f t="shared" ref="J20:U20" si="14">J15</f>
        <v>42</v>
      </c>
      <c r="K20" s="67">
        <f t="shared" si="14"/>
        <v>42</v>
      </c>
      <c r="L20" s="67">
        <f t="shared" si="14"/>
        <v>42</v>
      </c>
      <c r="M20" s="67">
        <f t="shared" si="14"/>
        <v>42</v>
      </c>
      <c r="N20" s="67">
        <f t="shared" si="14"/>
        <v>42</v>
      </c>
      <c r="O20" s="67">
        <f t="shared" si="14"/>
        <v>42</v>
      </c>
      <c r="P20" s="67">
        <f t="shared" si="14"/>
        <v>42</v>
      </c>
      <c r="Q20" s="67">
        <f>Q15</f>
        <v>42</v>
      </c>
      <c r="R20" s="67">
        <f>R15</f>
        <v>42</v>
      </c>
      <c r="S20" s="67">
        <f t="shared" si="14"/>
        <v>42</v>
      </c>
      <c r="T20" s="67">
        <f t="shared" si="14"/>
        <v>42</v>
      </c>
      <c r="U20" s="67">
        <f t="shared" si="14"/>
        <v>42</v>
      </c>
      <c r="V20" s="68">
        <f t="shared" si="3"/>
        <v>588</v>
      </c>
      <c r="W20" s="125"/>
      <c r="X20" s="30" t="s">
        <v>23</v>
      </c>
      <c r="Y20" s="31">
        <f t="shared" si="4"/>
        <v>54096</v>
      </c>
      <c r="Z20" s="32">
        <f t="shared" si="5"/>
        <v>375666.66666666669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596276.04166666674</v>
      </c>
      <c r="G21" s="73">
        <f>SUM(G9:G17)</f>
        <v>250000</v>
      </c>
      <c r="H21" s="74">
        <f>SUM(H9:H20)</f>
        <v>390</v>
      </c>
      <c r="I21" s="74">
        <f>SUM(I9:I20)</f>
        <v>390</v>
      </c>
      <c r="J21" s="74">
        <f>SUM(J9:J20)</f>
        <v>390</v>
      </c>
      <c r="K21" s="74">
        <f>SUM(K9:K20)</f>
        <v>390</v>
      </c>
      <c r="L21" s="74">
        <f>SUM(L9:L20)</f>
        <v>390</v>
      </c>
      <c r="M21" s="74">
        <f>SUM(M9:M20)</f>
        <v>390</v>
      </c>
      <c r="N21" s="74">
        <f>SUM(N9:N20)</f>
        <v>390</v>
      </c>
      <c r="O21" s="74">
        <f>SUM(O9:O20)</f>
        <v>390</v>
      </c>
      <c r="P21" s="74">
        <f>SUM(P9:P20)</f>
        <v>390</v>
      </c>
      <c r="Q21" s="74">
        <f>SUM(Q9:Q20)</f>
        <v>390</v>
      </c>
      <c r="R21" s="74">
        <f>SUM(R9:R20)</f>
        <v>390</v>
      </c>
      <c r="S21" s="74">
        <f>SUM(S9:S20)</f>
        <v>390</v>
      </c>
      <c r="T21" s="74">
        <f>SUM(T9:T20)</f>
        <v>390</v>
      </c>
      <c r="U21" s="74">
        <f>SUM(U9:U20)</f>
        <v>390</v>
      </c>
      <c r="V21" s="75">
        <f>SUM(V7:V20)</f>
        <v>5460</v>
      </c>
      <c r="W21" s="126">
        <f>SUM(W9:W20)</f>
        <v>247333.33333333331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12500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262500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3416658</v>
      </c>
      <c r="Z24" s="21">
        <f>SUM(Z9:Z22)</f>
        <v>23726791.666666668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25萬版-30秒版</vt:lpstr>
      <vt:lpstr>25萬版-20秒版</vt:lpstr>
      <vt:lpstr>25萬版-15秒版</vt:lpstr>
      <vt:lpstr>25萬版-10秒版 </vt:lpstr>
      <vt:lpstr>'25萬版-10秒版 '!Print_Area</vt:lpstr>
      <vt:lpstr>'25萬版-15秒版'!Print_Area</vt:lpstr>
      <vt:lpstr>'25萬版-20秒版'!Print_Area</vt:lpstr>
      <vt:lpstr>'25萬版-30秒版'!Print_Area</vt:lpstr>
      <vt:lpstr>'25萬版-10秒版 '!Print_Titles</vt:lpstr>
      <vt:lpstr>'25萬版-15秒版'!Print_Titles</vt:lpstr>
      <vt:lpstr>'25萬版-20秒版'!Print_Titles</vt:lpstr>
      <vt:lpstr>'25萬版-30秒版'!Print_Titles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2026-09-02T04:04:42Z</dcterms:modified>
</cp:coreProperties>
</file>