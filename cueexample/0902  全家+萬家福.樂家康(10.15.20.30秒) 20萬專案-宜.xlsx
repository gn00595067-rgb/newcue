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Cue表模版\"/>
    </mc:Choice>
  </mc:AlternateContent>
  <xr:revisionPtr revIDLastSave="0" documentId="13_ncr:1_{3574526B-61A9-42C5-A1DA-71DF2E3E3310}" xr6:coauthVersionLast="47" xr6:coauthVersionMax="47" xr10:uidLastSave="{00000000-0000-0000-0000-000000000000}"/>
  <bookViews>
    <workbookView xWindow="-93" yWindow="-93" windowWidth="25786" windowHeight="13866" xr2:uid="{917EC74D-08D0-400E-AACA-1F5EE105B0A9}"/>
  </bookViews>
  <sheets>
    <sheet name="20萬版-30秒版" sheetId="6" r:id="rId1"/>
    <sheet name="20萬版-20秒版" sheetId="1" r:id="rId2"/>
    <sheet name="20萬版-15秒版" sheetId="5" r:id="rId3"/>
    <sheet name="20萬版-10秒版 " sheetId="4" r:id="rId4"/>
  </sheets>
  <externalReferences>
    <externalReference r:id="rId5"/>
  </externalReferences>
  <definedNames>
    <definedName name="_">#REF!</definedName>
    <definedName name="_1_Fill_1">#REF!</definedName>
    <definedName name="_10_Fill_5">#REF!</definedName>
    <definedName name="_10Excel_BuiltIn_Criteria_1">#REF!</definedName>
    <definedName name="_12_Fill_6">#REF!</definedName>
    <definedName name="_12Excel_BuiltIn_Criteria_2">#REF!</definedName>
    <definedName name="_14Excel_BuiltIn_Criteria_1">#REF!</definedName>
    <definedName name="_15Excel_BuiltIn_Criteria_1_1">#REF!</definedName>
    <definedName name="_15Excel_BuiltIn_Criteria_3">#REF!</definedName>
    <definedName name="_16Excel_BuiltIn_Criteria_10">#REF!</definedName>
    <definedName name="_18Excel_BuiltIn_Criteria_11">#REF!</definedName>
    <definedName name="_2_Fill_1">#REF!</definedName>
    <definedName name="_20Excel_BuiltIn_Criteria_12">#REF!</definedName>
    <definedName name="_22Excel_BuiltIn_Criteria_13">#REF!</definedName>
    <definedName name="_24Excel_BuiltIn_Criteria_2">#REF!</definedName>
    <definedName name="_26Excel_BuiltIn_Criteria_3">#REF!</definedName>
    <definedName name="_28Excel_BuiltIn_Criteria_4">#REF!</definedName>
    <definedName name="_2Excel_BuiltIn_Criteria_1">#REF!</definedName>
    <definedName name="_3_Fill_1">#REF!</definedName>
    <definedName name="_30Excel_BuiltIn_Criteria_5">#REF!</definedName>
    <definedName name="_32Excel_BuiltIn_Criteria_6">#REF!</definedName>
    <definedName name="_34Excel_BuiltIn_Criteria_7">#REF!</definedName>
    <definedName name="_36Excel_BuiltIn_Criteria_8">#REF!</definedName>
    <definedName name="_38Excel_BuiltIn_Criteria_9">#REF!</definedName>
    <definedName name="_4_Fill_2">#REF!</definedName>
    <definedName name="_4Excel_BuiltIn_Criteria_1">#REF!</definedName>
    <definedName name="_5_Fill_1">#REF!</definedName>
    <definedName name="_6_Fill_1_1">#REF!</definedName>
    <definedName name="_6_Fill_2">#REF!</definedName>
    <definedName name="_6_Fill_3">#REF!</definedName>
    <definedName name="_8_Fill_4">#REF!</definedName>
    <definedName name="_9Excel_BuiltIn_Criteria_1">#REF!</definedName>
    <definedName name="_Fill">#REF!</definedName>
    <definedName name="_Fill_1">#REF!</definedName>
    <definedName name="_Fill_2">#REF!</definedName>
    <definedName name="_xlnm._FilterDatabase" localSheetId="3" hidden="1">'20萬版-10秒版 '!$A$8:$V$29</definedName>
    <definedName name="_xlnm._FilterDatabase" localSheetId="2" hidden="1">'20萬版-15秒版'!$A$8:$V$29</definedName>
    <definedName name="_xlnm._FilterDatabase" localSheetId="1" hidden="1">'20萬版-20秒版'!$A$8:$V$29</definedName>
    <definedName name="_xlnm._FilterDatabase" localSheetId="0" hidden="1">'20萬版-30秒版'!$A$8:$V$29</definedName>
    <definedName name="aaaa">#REF!</definedName>
    <definedName name="_xlnm.Criteria">#REF!</definedName>
    <definedName name="Excel_BuiltIn__FilterDatabase">'[1]3月'!#REF!</definedName>
    <definedName name="Excel_BuiltIn_Criteria">#REF!</definedName>
    <definedName name="Excel_BuiltIn_Criteria_1">#REF!</definedName>
    <definedName name="Excel_BuiltIn_Criteria_2">#REF!</definedName>
    <definedName name="Excel_BuiltIn_Criteria_3">#REF!</definedName>
    <definedName name="Excel_BuiltIn_Criteria_4">#REF!</definedName>
    <definedName name="GG">#REF!</definedName>
    <definedName name="_xlnm.Print_Area" localSheetId="3">'20萬版-10秒版 '!$A$1:$V$31</definedName>
    <definedName name="_xlnm.Print_Area" localSheetId="2">'20萬版-15秒版'!$A$1:$V$31</definedName>
    <definedName name="_xlnm.Print_Area" localSheetId="1">'20萬版-20秒版'!$A$1:$V$31</definedName>
    <definedName name="_xlnm.Print_Area" localSheetId="0">'20萬版-30秒版'!$A$1:$V$31</definedName>
    <definedName name="_xlnm.Print_Titles" localSheetId="3">'20萬版-10秒版 '!$6:$8</definedName>
    <definedName name="_xlnm.Print_Titles" localSheetId="2">'20萬版-15秒版'!$6:$8</definedName>
    <definedName name="_xlnm.Print_Titles" localSheetId="1">'20萬版-20秒版'!$6:$8</definedName>
    <definedName name="_xlnm.Print_Titles" localSheetId="0">'20萬版-30秒版'!$6:$8</definedName>
    <definedName name="s">#REF!</definedName>
    <definedName name="我">#REF!</definedName>
    <definedName name="修">#REF!</definedName>
    <definedName name="修改2">#REF!</definedName>
    <definedName name="爆波執行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9" i="6" l="1"/>
  <c r="G17" i="6"/>
  <c r="H16" i="6"/>
  <c r="H14" i="6"/>
  <c r="H13" i="6"/>
  <c r="H12" i="6"/>
  <c r="I11" i="6"/>
  <c r="J11" i="6" s="1"/>
  <c r="E11" i="6"/>
  <c r="I10" i="6"/>
  <c r="J10" i="6" s="1"/>
  <c r="K10" i="6" s="1"/>
  <c r="M10" i="6" s="1"/>
  <c r="N10" i="6" s="1"/>
  <c r="O10" i="6" s="1"/>
  <c r="P10" i="6" s="1"/>
  <c r="I9" i="6"/>
  <c r="J9" i="6" s="1"/>
  <c r="E9" i="6"/>
  <c r="I7" i="6"/>
  <c r="J7" i="6" s="1"/>
  <c r="K7" i="6" s="1"/>
  <c r="L7" i="6" s="1"/>
  <c r="M7" i="6" s="1"/>
  <c r="N7" i="6" s="1"/>
  <c r="O7" i="6" s="1"/>
  <c r="P7" i="6" s="1"/>
  <c r="L29" i="5"/>
  <c r="G17" i="5"/>
  <c r="I16" i="5"/>
  <c r="H16" i="5"/>
  <c r="H14" i="5"/>
  <c r="H13" i="5"/>
  <c r="H12" i="5"/>
  <c r="H15" i="5" s="1"/>
  <c r="I11" i="5"/>
  <c r="J11" i="5" s="1"/>
  <c r="E11" i="5"/>
  <c r="I10" i="5"/>
  <c r="I9" i="5"/>
  <c r="E9" i="5"/>
  <c r="I7" i="5"/>
  <c r="J7" i="5" s="1"/>
  <c r="K7" i="5" s="1"/>
  <c r="L7" i="5" s="1"/>
  <c r="M7" i="5" s="1"/>
  <c r="N7" i="5" s="1"/>
  <c r="O7" i="5" s="1"/>
  <c r="P7" i="5" s="1"/>
  <c r="O10" i="1"/>
  <c r="N10" i="4"/>
  <c r="O10" i="4" s="1"/>
  <c r="P10" i="4" s="1"/>
  <c r="E11" i="4"/>
  <c r="E9" i="4"/>
  <c r="L29" i="4"/>
  <c r="G19" i="4"/>
  <c r="G20" i="4" s="1"/>
  <c r="G17" i="4"/>
  <c r="H16" i="4"/>
  <c r="H14" i="4"/>
  <c r="H13" i="4"/>
  <c r="H12" i="4"/>
  <c r="H15" i="4" s="1"/>
  <c r="I11" i="4"/>
  <c r="I16" i="4" s="1"/>
  <c r="I10" i="4"/>
  <c r="I9" i="4"/>
  <c r="I7" i="4"/>
  <c r="J7" i="4" s="1"/>
  <c r="K7" i="4" s="1"/>
  <c r="L7" i="4" s="1"/>
  <c r="M7" i="4" s="1"/>
  <c r="N7" i="4" s="1"/>
  <c r="O7" i="4" s="1"/>
  <c r="P7" i="4" s="1"/>
  <c r="F16" i="1"/>
  <c r="F15" i="1"/>
  <c r="F14" i="1"/>
  <c r="F13" i="1"/>
  <c r="F12" i="1"/>
  <c r="F11" i="1"/>
  <c r="P9" i="1"/>
  <c r="P11" i="1"/>
  <c r="I10" i="1"/>
  <c r="J10" i="1" s="1"/>
  <c r="K10" i="1" s="1"/>
  <c r="L10" i="1" s="1"/>
  <c r="M10" i="1" s="1"/>
  <c r="Q11" i="1"/>
  <c r="R11" i="1" s="1"/>
  <c r="H14" i="1"/>
  <c r="I12" i="6" l="1"/>
  <c r="I15" i="6" s="1"/>
  <c r="I13" i="6"/>
  <c r="G20" i="6"/>
  <c r="K9" i="6"/>
  <c r="Q10" i="6"/>
  <c r="R10" i="6" s="1"/>
  <c r="S10" i="6"/>
  <c r="T10" i="6" s="1"/>
  <c r="U10" i="6" s="1"/>
  <c r="J16" i="6"/>
  <c r="J13" i="6"/>
  <c r="J12" i="6"/>
  <c r="J15" i="6" s="1"/>
  <c r="J14" i="6"/>
  <c r="K11" i="6"/>
  <c r="I14" i="6"/>
  <c r="H15" i="6"/>
  <c r="I16" i="6"/>
  <c r="H17" i="6"/>
  <c r="G19" i="6"/>
  <c r="I13" i="5"/>
  <c r="I14" i="5"/>
  <c r="K10" i="5"/>
  <c r="L10" i="5" s="1"/>
  <c r="M10" i="5" s="1"/>
  <c r="N10" i="5" s="1"/>
  <c r="O10" i="5" s="1"/>
  <c r="P10" i="5" s="1"/>
  <c r="J12" i="5"/>
  <c r="J15" i="5" s="1"/>
  <c r="J14" i="5"/>
  <c r="K11" i="5"/>
  <c r="J16" i="5"/>
  <c r="J13" i="5"/>
  <c r="G19" i="5"/>
  <c r="G20" i="5" s="1"/>
  <c r="J9" i="5"/>
  <c r="H17" i="5"/>
  <c r="I12" i="5"/>
  <c r="S10" i="1"/>
  <c r="T10" i="1" s="1"/>
  <c r="U10" i="1" s="1"/>
  <c r="S10" i="4"/>
  <c r="Q10" i="4"/>
  <c r="R10" i="4" s="1"/>
  <c r="H17" i="4"/>
  <c r="J9" i="4"/>
  <c r="J11" i="4"/>
  <c r="I12" i="4"/>
  <c r="J10" i="4"/>
  <c r="K10" i="4" s="1"/>
  <c r="L10" i="4" s="1"/>
  <c r="M10" i="4" s="1"/>
  <c r="I13" i="4"/>
  <c r="I14" i="4"/>
  <c r="R16" i="1"/>
  <c r="R15" i="1"/>
  <c r="R14" i="1"/>
  <c r="R13" i="1"/>
  <c r="R12" i="1"/>
  <c r="S11" i="1"/>
  <c r="Q12" i="1"/>
  <c r="Q13" i="1"/>
  <c r="Q14" i="1"/>
  <c r="Q15" i="1"/>
  <c r="Q16" i="1"/>
  <c r="Q10" i="1"/>
  <c r="R10" i="1" s="1"/>
  <c r="L29" i="1"/>
  <c r="G17" i="1"/>
  <c r="G19" i="1" s="1"/>
  <c r="H16" i="1"/>
  <c r="H13" i="1"/>
  <c r="H12" i="1"/>
  <c r="H15" i="1" s="1"/>
  <c r="I11" i="1"/>
  <c r="I7" i="1"/>
  <c r="J7" i="1" s="1"/>
  <c r="K7" i="1" s="1"/>
  <c r="L7" i="1" s="1"/>
  <c r="M7" i="1" s="1"/>
  <c r="N7" i="1" s="1"/>
  <c r="O7" i="1" s="1"/>
  <c r="P7" i="1" s="1"/>
  <c r="L9" i="6" l="1"/>
  <c r="K16" i="6"/>
  <c r="K14" i="6"/>
  <c r="K13" i="6"/>
  <c r="K12" i="6"/>
  <c r="L11" i="6"/>
  <c r="V10" i="6"/>
  <c r="I17" i="6"/>
  <c r="J17" i="6"/>
  <c r="J17" i="5"/>
  <c r="K9" i="5"/>
  <c r="K14" i="5"/>
  <c r="L11" i="5"/>
  <c r="K16" i="5"/>
  <c r="K13" i="5"/>
  <c r="K12" i="5"/>
  <c r="K15" i="5" s="1"/>
  <c r="I15" i="5"/>
  <c r="S10" i="5"/>
  <c r="T10" i="5" s="1"/>
  <c r="U10" i="5" s="1"/>
  <c r="Q10" i="5"/>
  <c r="J16" i="4"/>
  <c r="J14" i="4"/>
  <c r="J13" i="4"/>
  <c r="J12" i="4"/>
  <c r="J15" i="4" s="1"/>
  <c r="K11" i="4"/>
  <c r="I15" i="4"/>
  <c r="K9" i="4"/>
  <c r="T10" i="4"/>
  <c r="I13" i="1"/>
  <c r="I14" i="1"/>
  <c r="I9" i="1"/>
  <c r="J9" i="1" s="1"/>
  <c r="H17" i="1"/>
  <c r="J11" i="1"/>
  <c r="I12" i="1"/>
  <c r="I15" i="1" s="1"/>
  <c r="I16" i="1"/>
  <c r="G20" i="1"/>
  <c r="K15" i="6" l="1"/>
  <c r="L12" i="6"/>
  <c r="L15" i="6" s="1"/>
  <c r="L16" i="6"/>
  <c r="L14" i="6"/>
  <c r="L13" i="6"/>
  <c r="M11" i="6"/>
  <c r="Z10" i="6"/>
  <c r="Y10" i="6"/>
  <c r="M9" i="6"/>
  <c r="R10" i="5"/>
  <c r="V10" i="5" s="1"/>
  <c r="M11" i="5"/>
  <c r="L13" i="5"/>
  <c r="L12" i="5"/>
  <c r="L16" i="5"/>
  <c r="L14" i="5"/>
  <c r="K17" i="5"/>
  <c r="L9" i="5"/>
  <c r="I17" i="5"/>
  <c r="J17" i="4"/>
  <c r="U10" i="4"/>
  <c r="L9" i="4"/>
  <c r="I17" i="4"/>
  <c r="K14" i="4"/>
  <c r="K13" i="4"/>
  <c r="K16" i="4"/>
  <c r="K12" i="4"/>
  <c r="K15" i="4" s="1"/>
  <c r="L11" i="4"/>
  <c r="J13" i="1"/>
  <c r="J14" i="1"/>
  <c r="J12" i="1"/>
  <c r="J15" i="1" s="1"/>
  <c r="J16" i="1"/>
  <c r="K11" i="1"/>
  <c r="N9" i="6" l="1"/>
  <c r="L17" i="6"/>
  <c r="K17" i="6"/>
  <c r="M16" i="6"/>
  <c r="M14" i="6"/>
  <c r="M13" i="6"/>
  <c r="M12" i="6"/>
  <c r="M15" i="6" s="1"/>
  <c r="N11" i="6"/>
  <c r="M13" i="5"/>
  <c r="M12" i="5"/>
  <c r="M15" i="5" s="1"/>
  <c r="M16" i="5"/>
  <c r="M14" i="5"/>
  <c r="N11" i="5"/>
  <c r="Z10" i="5"/>
  <c r="Y10" i="5"/>
  <c r="M9" i="5"/>
  <c r="L15" i="5"/>
  <c r="L14" i="4"/>
  <c r="L16" i="4"/>
  <c r="L13" i="4"/>
  <c r="L12" i="4"/>
  <c r="L15" i="4" s="1"/>
  <c r="M11" i="4"/>
  <c r="M9" i="4"/>
  <c r="K17" i="4"/>
  <c r="V10" i="4"/>
  <c r="L11" i="1"/>
  <c r="K14" i="1"/>
  <c r="I17" i="1"/>
  <c r="K9" i="1"/>
  <c r="K16" i="1"/>
  <c r="K13" i="1"/>
  <c r="K12" i="1"/>
  <c r="K15" i="1" s="1"/>
  <c r="N16" i="6" l="1"/>
  <c r="N14" i="6"/>
  <c r="N13" i="6"/>
  <c r="N12" i="6"/>
  <c r="M17" i="6"/>
  <c r="O9" i="6"/>
  <c r="L17" i="5"/>
  <c r="M17" i="5"/>
  <c r="N9" i="5"/>
  <c r="N12" i="5"/>
  <c r="O11" i="5"/>
  <c r="N16" i="5"/>
  <c r="N13" i="5"/>
  <c r="N14" i="5"/>
  <c r="L17" i="4"/>
  <c r="Y10" i="4"/>
  <c r="Z10" i="4"/>
  <c r="M12" i="4"/>
  <c r="M14" i="4"/>
  <c r="M13" i="4"/>
  <c r="N11" i="4"/>
  <c r="M16" i="4"/>
  <c r="N9" i="4"/>
  <c r="O9" i="4" s="1"/>
  <c r="P9" i="4" s="1"/>
  <c r="L14" i="1"/>
  <c r="L16" i="1"/>
  <c r="L13" i="1"/>
  <c r="M11" i="1"/>
  <c r="M14" i="1" s="1"/>
  <c r="L12" i="1"/>
  <c r="L15" i="1" s="1"/>
  <c r="J17" i="1"/>
  <c r="L9" i="1"/>
  <c r="N15" i="6" l="1"/>
  <c r="N17" i="6" s="1"/>
  <c r="P9" i="6"/>
  <c r="O16" i="6"/>
  <c r="O14" i="6"/>
  <c r="O13" i="6"/>
  <c r="O12" i="6"/>
  <c r="O15" i="6" s="1"/>
  <c r="P11" i="6"/>
  <c r="N15" i="5"/>
  <c r="N17" i="5" s="1"/>
  <c r="O16" i="5"/>
  <c r="O12" i="5"/>
  <c r="O15" i="5" s="1"/>
  <c r="O14" i="5"/>
  <c r="O13" i="5"/>
  <c r="P11" i="5"/>
  <c r="O9" i="5"/>
  <c r="Q9" i="4"/>
  <c r="R9" i="4" s="1"/>
  <c r="S9" i="4"/>
  <c r="T9" i="4" s="1"/>
  <c r="U9" i="4" s="1"/>
  <c r="M15" i="4"/>
  <c r="M17" i="4" s="1"/>
  <c r="N16" i="4"/>
  <c r="N14" i="4"/>
  <c r="N12" i="4"/>
  <c r="N15" i="4" s="1"/>
  <c r="N13" i="4"/>
  <c r="O11" i="4"/>
  <c r="M16" i="1"/>
  <c r="M13" i="1"/>
  <c r="M12" i="1"/>
  <c r="M15" i="1" s="1"/>
  <c r="N11" i="1"/>
  <c r="O11" i="1" s="1"/>
  <c r="O14" i="1" s="1"/>
  <c r="K17" i="1"/>
  <c r="M9" i="1"/>
  <c r="O17" i="6" l="1"/>
  <c r="Q9" i="6"/>
  <c r="S9" i="6"/>
  <c r="P14" i="6"/>
  <c r="P13" i="6"/>
  <c r="P12" i="6"/>
  <c r="P15" i="6" s="1"/>
  <c r="Q11" i="6"/>
  <c r="P16" i="6"/>
  <c r="O17" i="5"/>
  <c r="P9" i="5"/>
  <c r="P13" i="5"/>
  <c r="Q11" i="5"/>
  <c r="P16" i="5"/>
  <c r="P14" i="5"/>
  <c r="P12" i="5"/>
  <c r="P15" i="5" s="1"/>
  <c r="N17" i="4"/>
  <c r="V9" i="4"/>
  <c r="W9" i="4" s="1"/>
  <c r="O16" i="4"/>
  <c r="O12" i="4"/>
  <c r="O15" i="4" s="1"/>
  <c r="O13" i="4"/>
  <c r="P11" i="4"/>
  <c r="O14" i="4"/>
  <c r="Z9" i="4"/>
  <c r="Z20" i="4" s="1"/>
  <c r="N13" i="1"/>
  <c r="N16" i="1"/>
  <c r="N9" i="1"/>
  <c r="N14" i="1"/>
  <c r="N12" i="1"/>
  <c r="N15" i="1" s="1"/>
  <c r="L17" i="1"/>
  <c r="P14" i="1"/>
  <c r="O16" i="1"/>
  <c r="O13" i="1"/>
  <c r="O12" i="1"/>
  <c r="O15" i="1" s="1"/>
  <c r="Q15" i="6" l="1"/>
  <c r="Q14" i="6"/>
  <c r="Q13" i="6"/>
  <c r="Q12" i="6"/>
  <c r="R11" i="6"/>
  <c r="Q16" i="6"/>
  <c r="P17" i="6"/>
  <c r="T9" i="6"/>
  <c r="R9" i="6"/>
  <c r="Q15" i="5"/>
  <c r="Q14" i="5"/>
  <c r="Q16" i="5"/>
  <c r="Q13" i="5"/>
  <c r="Q12" i="5"/>
  <c r="R11" i="5"/>
  <c r="P17" i="5"/>
  <c r="S9" i="5"/>
  <c r="Q9" i="5"/>
  <c r="O17" i="4"/>
  <c r="F9" i="4"/>
  <c r="Y9" i="4"/>
  <c r="Y20" i="4" s="1"/>
  <c r="P13" i="4"/>
  <c r="P12" i="4"/>
  <c r="P15" i="4" s="1"/>
  <c r="Q11" i="4"/>
  <c r="P14" i="4"/>
  <c r="P16" i="4"/>
  <c r="P17" i="4"/>
  <c r="N17" i="1"/>
  <c r="M17" i="1"/>
  <c r="O17" i="1"/>
  <c r="Q9" i="1"/>
  <c r="S14" i="1"/>
  <c r="P16" i="1"/>
  <c r="P13" i="1"/>
  <c r="P12" i="1"/>
  <c r="P15" i="1" s="1"/>
  <c r="Q17" i="6" l="1"/>
  <c r="U9" i="6"/>
  <c r="R14" i="6"/>
  <c r="R13" i="6"/>
  <c r="R12" i="6"/>
  <c r="S11" i="6"/>
  <c r="R16" i="6"/>
  <c r="R15" i="6"/>
  <c r="Q17" i="5"/>
  <c r="R9" i="5"/>
  <c r="T9" i="5"/>
  <c r="R16" i="5"/>
  <c r="R14" i="5"/>
  <c r="S11" i="5"/>
  <c r="R15" i="5"/>
  <c r="R13" i="5"/>
  <c r="R12" i="5"/>
  <c r="Q12" i="4"/>
  <c r="Q17" i="4" s="1"/>
  <c r="R11" i="4"/>
  <c r="Q13" i="4"/>
  <c r="Q15" i="4"/>
  <c r="Q16" i="4"/>
  <c r="Q14" i="4"/>
  <c r="R9" i="1"/>
  <c r="R17" i="1" s="1"/>
  <c r="Q17" i="1"/>
  <c r="S9" i="1"/>
  <c r="S13" i="1"/>
  <c r="S12" i="1"/>
  <c r="S15" i="1" s="1"/>
  <c r="T11" i="1"/>
  <c r="T14" i="1" s="1"/>
  <c r="S16" i="1"/>
  <c r="R17" i="6" l="1"/>
  <c r="S14" i="6"/>
  <c r="S13" i="6"/>
  <c r="S12" i="6"/>
  <c r="S15" i="6" s="1"/>
  <c r="T11" i="6"/>
  <c r="S16" i="6"/>
  <c r="V9" i="6"/>
  <c r="U9" i="5"/>
  <c r="R17" i="5"/>
  <c r="V9" i="5"/>
  <c r="W9" i="5" s="1"/>
  <c r="S14" i="5"/>
  <c r="S13" i="5"/>
  <c r="S16" i="5"/>
  <c r="S12" i="5"/>
  <c r="S15" i="5" s="1"/>
  <c r="T11" i="5"/>
  <c r="R14" i="4"/>
  <c r="R12" i="4"/>
  <c r="R17" i="4" s="1"/>
  <c r="S11" i="4"/>
  <c r="R16" i="4"/>
  <c r="R13" i="4"/>
  <c r="R15" i="4"/>
  <c r="T9" i="1"/>
  <c r="P17" i="1"/>
  <c r="T13" i="1"/>
  <c r="T12" i="1"/>
  <c r="T15" i="1" s="1"/>
  <c r="U11" i="1"/>
  <c r="T16" i="1"/>
  <c r="S17" i="6" l="1"/>
  <c r="Z9" i="6"/>
  <c r="Z20" i="6" s="1"/>
  <c r="Y9" i="6"/>
  <c r="Y20" i="6" s="1"/>
  <c r="F9" i="6"/>
  <c r="W9" i="6"/>
  <c r="T13" i="6"/>
  <c r="T12" i="6"/>
  <c r="T15" i="6" s="1"/>
  <c r="U11" i="6"/>
  <c r="T16" i="6"/>
  <c r="T14" i="6"/>
  <c r="T17" i="6"/>
  <c r="T13" i="5"/>
  <c r="T17" i="5" s="1"/>
  <c r="U11" i="5"/>
  <c r="T14" i="5"/>
  <c r="T12" i="5"/>
  <c r="T15" i="5" s="1"/>
  <c r="T16" i="5"/>
  <c r="Y9" i="5"/>
  <c r="Y20" i="5" s="1"/>
  <c r="Z9" i="5"/>
  <c r="Z20" i="5" s="1"/>
  <c r="F9" i="5"/>
  <c r="S17" i="5"/>
  <c r="S13" i="4"/>
  <c r="S12" i="4"/>
  <c r="S15" i="4" s="1"/>
  <c r="T11" i="4"/>
  <c r="S16" i="4"/>
  <c r="S14" i="4"/>
  <c r="U14" i="1"/>
  <c r="V14" i="1" s="1"/>
  <c r="V11" i="1"/>
  <c r="W11" i="1" s="1"/>
  <c r="S17" i="1"/>
  <c r="U9" i="1"/>
  <c r="V9" i="1" s="1"/>
  <c r="F9" i="1" s="1"/>
  <c r="U12" i="1"/>
  <c r="U15" i="1" s="1"/>
  <c r="V15" i="1" s="1"/>
  <c r="U16" i="1"/>
  <c r="U13" i="1"/>
  <c r="U13" i="6" l="1"/>
  <c r="V13" i="6" s="1"/>
  <c r="U12" i="6"/>
  <c r="U16" i="6"/>
  <c r="V16" i="6" s="1"/>
  <c r="U14" i="6"/>
  <c r="V14" i="6" s="1"/>
  <c r="V11" i="6"/>
  <c r="U16" i="5"/>
  <c r="V16" i="5" s="1"/>
  <c r="U13" i="5"/>
  <c r="V13" i="5" s="1"/>
  <c r="U12" i="5"/>
  <c r="U14" i="5"/>
  <c r="V14" i="5" s="1"/>
  <c r="V11" i="5"/>
  <c r="S17" i="4"/>
  <c r="T13" i="4"/>
  <c r="T12" i="4"/>
  <c r="T15" i="4" s="1"/>
  <c r="U11" i="4"/>
  <c r="T16" i="4"/>
  <c r="T14" i="4"/>
  <c r="Y14" i="1"/>
  <c r="Z14" i="1"/>
  <c r="W9" i="1"/>
  <c r="W17" i="1" s="1"/>
  <c r="Z15" i="1"/>
  <c r="Y15" i="1"/>
  <c r="U17" i="1"/>
  <c r="T17" i="1"/>
  <c r="Z14" i="6" l="1"/>
  <c r="Y14" i="6"/>
  <c r="F14" i="6"/>
  <c r="Z13" i="6"/>
  <c r="Y13" i="6"/>
  <c r="F13" i="6"/>
  <c r="Z16" i="6"/>
  <c r="Y16" i="6"/>
  <c r="F16" i="6"/>
  <c r="Z11" i="6"/>
  <c r="Y11" i="6"/>
  <c r="F11" i="6"/>
  <c r="W11" i="6"/>
  <c r="W17" i="6" s="1"/>
  <c r="U15" i="6"/>
  <c r="V15" i="6" s="1"/>
  <c r="V12" i="6"/>
  <c r="V17" i="6" s="1"/>
  <c r="Z11" i="5"/>
  <c r="Y11" i="5"/>
  <c r="F11" i="5"/>
  <c r="W11" i="5"/>
  <c r="W17" i="5" s="1"/>
  <c r="Z13" i="5"/>
  <c r="Y13" i="5"/>
  <c r="F13" i="5"/>
  <c r="F14" i="5"/>
  <c r="Z14" i="5"/>
  <c r="Y14" i="5"/>
  <c r="U15" i="5"/>
  <c r="V12" i="5"/>
  <c r="Z16" i="5"/>
  <c r="F16" i="5"/>
  <c r="Y16" i="5"/>
  <c r="T17" i="4"/>
  <c r="U12" i="4"/>
  <c r="U16" i="4"/>
  <c r="V16" i="4" s="1"/>
  <c r="U14" i="4"/>
  <c r="V14" i="4" s="1"/>
  <c r="U13" i="4"/>
  <c r="V13" i="4" s="1"/>
  <c r="V11" i="4"/>
  <c r="W11" i="4" s="1"/>
  <c r="V16" i="1"/>
  <c r="V12" i="1"/>
  <c r="V13" i="1"/>
  <c r="Z15" i="6" l="1"/>
  <c r="Y15" i="6"/>
  <c r="F15" i="6"/>
  <c r="U17" i="6"/>
  <c r="Y12" i="6"/>
  <c r="F12" i="6"/>
  <c r="Z12" i="6"/>
  <c r="V15" i="5"/>
  <c r="V17" i="5" s="1"/>
  <c r="U17" i="5"/>
  <c r="Y12" i="5"/>
  <c r="F12" i="5"/>
  <c r="Z12" i="5"/>
  <c r="Y11" i="4"/>
  <c r="Z11" i="4"/>
  <c r="F11" i="4"/>
  <c r="W17" i="4"/>
  <c r="Z13" i="4"/>
  <c r="Y13" i="4"/>
  <c r="F13" i="4"/>
  <c r="Z14" i="4"/>
  <c r="Y14" i="4"/>
  <c r="F14" i="4"/>
  <c r="Y16" i="4"/>
  <c r="Z16" i="4"/>
  <c r="F16" i="4"/>
  <c r="U15" i="4"/>
  <c r="V12" i="4"/>
  <c r="V10" i="1"/>
  <c r="V17" i="1" s="1"/>
  <c r="Z9" i="1"/>
  <c r="Y9" i="1"/>
  <c r="Z12" i="1"/>
  <c r="Y12" i="1"/>
  <c r="Z11" i="1"/>
  <c r="Y11" i="1"/>
  <c r="Z13" i="1"/>
  <c r="Y13" i="1"/>
  <c r="Y16" i="1"/>
  <c r="Z16" i="1"/>
  <c r="F17" i="6" l="1"/>
  <c r="Y15" i="5"/>
  <c r="Z15" i="5"/>
  <c r="F15" i="5"/>
  <c r="F17" i="5" s="1"/>
  <c r="V15" i="4"/>
  <c r="U17" i="4"/>
  <c r="F12" i="4"/>
  <c r="Y12" i="4"/>
  <c r="Z12" i="4"/>
  <c r="Y10" i="1"/>
  <c r="Z10" i="1"/>
  <c r="Y15" i="4" l="1"/>
  <c r="F15" i="4"/>
  <c r="F17" i="4" s="1"/>
  <c r="Z15" i="4"/>
  <c r="V17" i="4"/>
  <c r="Y20" i="1"/>
  <c r="Z20" i="1"/>
  <c r="F17" i="1"/>
</calcChain>
</file>

<file path=xl/sharedStrings.xml><?xml version="1.0" encoding="utf-8"?>
<sst xmlns="http://schemas.openxmlformats.org/spreadsheetml/2006/main" count="306" uniqueCount="68">
  <si>
    <t xml:space="preserve">               Media Schedule</t>
    <phoneticPr fontId="5" type="noConversion"/>
  </si>
  <si>
    <t>客戶名稱：</t>
    <phoneticPr fontId="5" type="noConversion"/>
  </si>
  <si>
    <t>Product：</t>
    <phoneticPr fontId="5" type="noConversion"/>
  </si>
  <si>
    <t xml:space="preserve">Period : </t>
    <phoneticPr fontId="5" type="noConversion"/>
  </si>
  <si>
    <t xml:space="preserve">Medium : </t>
    <phoneticPr fontId="5" type="noConversion"/>
  </si>
  <si>
    <t>Station</t>
    <phoneticPr fontId="10" type="noConversion"/>
  </si>
  <si>
    <t>Location</t>
    <phoneticPr fontId="10" type="noConversion"/>
  </si>
  <si>
    <t>Program</t>
    <phoneticPr fontId="10" type="noConversion"/>
  </si>
  <si>
    <t>Day-part</t>
    <phoneticPr fontId="10" type="noConversion"/>
  </si>
  <si>
    <t>Size</t>
    <phoneticPr fontId="5" type="noConversion"/>
  </si>
  <si>
    <t>rate   (Net)</t>
    <phoneticPr fontId="10" type="noConversion"/>
  </si>
  <si>
    <t>Package-cost
(Net)</t>
    <phoneticPr fontId="10" type="noConversion"/>
  </si>
  <si>
    <t>檔次</t>
    <phoneticPr fontId="5" type="noConversion"/>
  </si>
  <si>
    <t>一</t>
    <phoneticPr fontId="4" type="noConversion"/>
  </si>
  <si>
    <t>二</t>
    <phoneticPr fontId="4" type="noConversion"/>
  </si>
  <si>
    <t>三</t>
    <phoneticPr fontId="4" type="noConversion"/>
  </si>
  <si>
    <t>四</t>
    <phoneticPr fontId="4" type="noConversion"/>
  </si>
  <si>
    <t>五</t>
    <phoneticPr fontId="4" type="noConversion"/>
  </si>
  <si>
    <t>六</t>
    <phoneticPr fontId="4" type="noConversion"/>
  </si>
  <si>
    <t>日</t>
    <phoneticPr fontId="4" type="noConversion"/>
  </si>
  <si>
    <t>格蘭英語走期確認</t>
  </si>
  <si>
    <t>總曝光次數</t>
    <phoneticPr fontId="4" type="noConversion"/>
  </si>
  <si>
    <t>曝光期間
店舖總人流量</t>
    <phoneticPr fontId="4" type="noConversion"/>
  </si>
  <si>
    <t>TV北</t>
    <phoneticPr fontId="5" type="noConversion"/>
  </si>
  <si>
    <t>TV桃</t>
    <phoneticPr fontId="5" type="noConversion"/>
  </si>
  <si>
    <t xml:space="preserve">全家便利商店
通路廣播廣告 </t>
    <phoneticPr fontId="5" type="noConversion"/>
  </si>
  <si>
    <t>廣播北</t>
    <phoneticPr fontId="5" type="noConversion"/>
  </si>
  <si>
    <t>桃區-桃竹苗</t>
  </si>
  <si>
    <t>Total</t>
    <phoneticPr fontId="10" type="noConversion"/>
  </si>
  <si>
    <t>製作</t>
    <phoneticPr fontId="5" type="noConversion"/>
  </si>
  <si>
    <t>5% VAT</t>
    <phoneticPr fontId="5" type="noConversion"/>
  </si>
  <si>
    <t>Grand Total</t>
    <phoneticPr fontId="5" type="noConversion"/>
  </si>
  <si>
    <t>Remarks：</t>
  </si>
  <si>
    <t>2.以上節目名稱如有異動，以上檔時節目名稱為主，如遇時段滿檔，上檔時間挪後或更換至同級時段。</t>
    <phoneticPr fontId="5" type="noConversion"/>
  </si>
  <si>
    <t>3.通路店鋪數與開機率開機率至少七成(以上)。每日因加盟數調整，或遇店舖年度季度改裝、設備維護升級及保修等狀況，會有一定幅度增減。</t>
    <phoneticPr fontId="5" type="noConversion"/>
  </si>
  <si>
    <t>乙    方：</t>
    <phoneticPr fontId="5" type="noConversion"/>
  </si>
  <si>
    <t>統一編號：</t>
  </si>
  <si>
    <t>客戶簽章：</t>
  </si>
  <si>
    <t>09-23</t>
    <phoneticPr fontId="5" type="noConversion"/>
  </si>
  <si>
    <t>00-24</t>
    <phoneticPr fontId="4" type="noConversion"/>
  </si>
  <si>
    <t>計量販</t>
    <phoneticPr fontId="4" type="noConversion"/>
  </si>
  <si>
    <t>4.託播方需於上檔前 5 個工作天，提供廣告帶(mp3)。</t>
    <phoneticPr fontId="5" type="noConversion"/>
  </si>
  <si>
    <t>中區-中彰投雲</t>
    <phoneticPr fontId="4" type="noConversion"/>
  </si>
  <si>
    <t>南區-高屏</t>
    <phoneticPr fontId="4" type="noConversion"/>
  </si>
  <si>
    <t>南區-霊嘉南</t>
    <phoneticPr fontId="4" type="noConversion"/>
  </si>
  <si>
    <t>東區-宜花東</t>
    <phoneticPr fontId="4" type="noConversion"/>
  </si>
  <si>
    <t>全家 萬家福/樂家康 專案</t>
    <phoneticPr fontId="5" type="noConversion"/>
  </si>
  <si>
    <t>全省</t>
    <phoneticPr fontId="5" type="noConversion"/>
  </si>
  <si>
    <t>萬家福-量販店</t>
    <phoneticPr fontId="5" type="noConversion"/>
  </si>
  <si>
    <t>樂家康-超市</t>
    <phoneticPr fontId="5" type="noConversion"/>
  </si>
  <si>
    <t>62店</t>
    <phoneticPr fontId="4" type="noConversion"/>
  </si>
  <si>
    <t>217店</t>
    <phoneticPr fontId="4" type="noConversion"/>
  </si>
  <si>
    <t>20秒</t>
    <phoneticPr fontId="4" type="noConversion"/>
  </si>
  <si>
    <t>計價模式</t>
    <phoneticPr fontId="4" type="noConversion"/>
  </si>
  <si>
    <t>20秒</t>
    <phoneticPr fontId="5" type="noConversion"/>
  </si>
  <si>
    <t>2026. 09. 21 - 2026. 10. 04</t>
    <phoneticPr fontId="5" type="noConversion"/>
  </si>
  <si>
    <t>9月</t>
    <phoneticPr fontId="4" type="noConversion"/>
  </si>
  <si>
    <t>1.請於 2026/09/14 (一) 下午17:00前 回簽及進單，方可順利上檔。</t>
    <phoneticPr fontId="5" type="noConversion"/>
  </si>
  <si>
    <t>5.雙方同意費用請款月份 : 月          ，如有修正必要，將另行E-Mail告知，並視為正式合約之一部分。</t>
    <phoneticPr fontId="5" type="noConversion"/>
  </si>
  <si>
    <t>6.付款兌現日期：115.XX.XX</t>
    <phoneticPr fontId="5" type="noConversion"/>
  </si>
  <si>
    <t>甲       方 ：</t>
    <phoneticPr fontId="5" type="noConversion"/>
  </si>
  <si>
    <t>統一編號：</t>
    <phoneticPr fontId="5" type="noConversion"/>
  </si>
  <si>
    <t xml:space="preserve">  承辦人：</t>
    <phoneticPr fontId="4" type="noConversion"/>
  </si>
  <si>
    <t>10秒</t>
    <phoneticPr fontId="5" type="noConversion"/>
  </si>
  <si>
    <t>15秒</t>
    <phoneticPr fontId="5" type="noConversion"/>
  </si>
  <si>
    <t>30秒</t>
    <phoneticPr fontId="5" type="noConversion"/>
  </si>
  <si>
    <t>07-23</t>
    <phoneticPr fontId="5" type="noConversion"/>
  </si>
  <si>
    <t>北區-北北基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</si>
</sst>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3" formatCode="_-* #,##0.00_-;\-* #,##0.00_-;_-* &quot;-&quot;??_-;_-@_-"/>
    <numFmt numFmtId="176" formatCode="d"/>
    <numFmt numFmtId="177" formatCode="dd"/>
    <numFmt numFmtId="178" formatCode="[$-404]aaa;@"/>
    <numFmt numFmtId="179" formatCode="#,##0&quot;&quot;&quot;面&quot;&quot;&quot;"/>
    <numFmt numFmtId="180" formatCode="#,##0&quot;&quot;&quot;秒&quot;&quot;&quot;"/>
    <numFmt numFmtId="181" formatCode="_-* #,##0_-;\-* #,##0_-;_-* &quot;-&quot;??_-;_-@_-"/>
    <numFmt numFmtId="182" formatCode="#,##0&quot;&quot;&quot;店&quot;&quot;&quot;"/>
    <numFmt numFmtId="183" formatCode="#,##0;[Red]#,##0"/>
    <numFmt numFmtId="184" formatCode="#,##0_ "/>
  </numFmts>
  <fonts count="36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name val="新細明體"/>
      <family val="1"/>
      <charset val="136"/>
    </font>
    <font>
      <b/>
      <sz val="48"/>
      <name val="微軟正黑體"/>
      <family val="2"/>
      <charset val="136"/>
    </font>
    <font>
      <sz val="9"/>
      <name val="新細明體"/>
      <family val="2"/>
      <charset val="136"/>
      <scheme val="minor"/>
    </font>
    <font>
      <sz val="9"/>
      <name val="細明體"/>
      <family val="3"/>
      <charset val="136"/>
    </font>
    <font>
      <sz val="12"/>
      <name val="微軟正黑體"/>
      <family val="2"/>
      <charset val="136"/>
    </font>
    <font>
      <b/>
      <sz val="22"/>
      <name val="微軟正黑體"/>
      <family val="2"/>
      <charset val="136"/>
    </font>
    <font>
      <sz val="22"/>
      <name val="微軟正黑體"/>
      <family val="2"/>
      <charset val="136"/>
    </font>
    <font>
      <sz val="12"/>
      <name val="Century Gothic"/>
      <family val="2"/>
    </font>
    <font>
      <sz val="9"/>
      <name val="新細明體"/>
      <family val="1"/>
      <charset val="136"/>
    </font>
    <font>
      <b/>
      <sz val="20"/>
      <name val="微軟正黑體"/>
      <family val="2"/>
      <charset val="136"/>
    </font>
    <font>
      <b/>
      <sz val="12"/>
      <name val="微軟正黑體"/>
      <family val="2"/>
      <charset val="136"/>
    </font>
    <font>
      <b/>
      <sz val="12"/>
      <color theme="1"/>
      <name val="微軟正黑體"/>
      <family val="2"/>
      <charset val="136"/>
    </font>
    <font>
      <sz val="14"/>
      <name val="微軟正黑體"/>
      <family val="2"/>
      <charset val="136"/>
    </font>
    <font>
      <b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18"/>
      <color theme="1"/>
      <name val="微軟正黑體"/>
      <family val="2"/>
      <charset val="136"/>
    </font>
    <font>
      <sz val="16"/>
      <color theme="1"/>
      <name val="微軟正黑體"/>
      <family val="2"/>
      <charset val="136"/>
    </font>
    <font>
      <b/>
      <sz val="22"/>
      <color theme="1"/>
      <name val="微軟正黑體"/>
      <family val="2"/>
      <charset val="136"/>
    </font>
    <font>
      <sz val="22"/>
      <color theme="1"/>
      <name val="微軟正黑體"/>
      <family val="2"/>
      <charset val="136"/>
    </font>
    <font>
      <b/>
      <sz val="16"/>
      <color theme="1"/>
      <name val="微軟正黑體"/>
      <family val="2"/>
      <charset val="136"/>
    </font>
    <font>
      <b/>
      <sz val="12"/>
      <name val="Century Gothic"/>
      <family val="2"/>
    </font>
    <font>
      <b/>
      <sz val="26"/>
      <name val="微軟正黑體"/>
      <family val="2"/>
      <charset val="136"/>
    </font>
    <font>
      <sz val="26"/>
      <name val="微軟正黑體"/>
      <family val="2"/>
      <charset val="136"/>
    </font>
    <font>
      <b/>
      <sz val="26"/>
      <color theme="1"/>
      <name val="微軟正黑體"/>
      <family val="2"/>
      <charset val="136"/>
    </font>
    <font>
      <sz val="26"/>
      <color theme="1"/>
      <name val="微軟正黑體"/>
      <family val="2"/>
      <charset val="136"/>
    </font>
    <font>
      <b/>
      <sz val="26"/>
      <color rgb="FFFF0000"/>
      <name val="微軟正黑體"/>
      <family val="2"/>
      <charset val="136"/>
    </font>
    <font>
      <sz val="26"/>
      <color theme="1"/>
      <name val="Century Gothic"/>
      <family val="2"/>
    </font>
    <font>
      <sz val="26"/>
      <color theme="1"/>
      <name val="Microsoft JhengHei"/>
      <family val="2"/>
      <charset val="136"/>
    </font>
    <font>
      <sz val="26"/>
      <name val="Century Gothic"/>
      <family val="2"/>
    </font>
    <font>
      <sz val="28"/>
      <name val="微軟正黑體"/>
      <family val="2"/>
      <charset val="136"/>
    </font>
    <font>
      <b/>
      <sz val="28"/>
      <name val="微軟正黑體"/>
      <family val="2"/>
      <charset val="136"/>
    </font>
    <font>
      <sz val="22"/>
      <color rgb="FF000099"/>
      <name val="微軟正黑體"/>
      <family val="2"/>
      <charset val="136"/>
    </font>
    <font>
      <b/>
      <sz val="22"/>
      <color rgb="FF000099"/>
      <name val="微軟正黑體"/>
      <family val="2"/>
      <charset val="136"/>
    </font>
    <font>
      <sz val="22"/>
      <color rgb="FF000099"/>
      <name val="Century Gothic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5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auto="1"/>
      </left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hair">
        <color auto="1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11">
    <xf numFmtId="0" fontId="0" fillId="0" borderId="0">
      <alignment vertical="center"/>
    </xf>
    <xf numFmtId="0" fontId="2" fillId="0" borderId="0">
      <alignment vertical="center"/>
    </xf>
    <xf numFmtId="0" fontId="9" fillId="0" borderId="0">
      <alignment vertical="center"/>
    </xf>
    <xf numFmtId="9" fontId="9" fillId="0" borderId="0" applyFont="0" applyFill="0" applyBorder="0" applyAlignment="0" applyProtection="0">
      <alignment vertical="center"/>
    </xf>
    <xf numFmtId="0" fontId="2" fillId="0" borderId="0"/>
    <xf numFmtId="0" fontId="2" fillId="0" borderId="0"/>
    <xf numFmtId="43" fontId="9" fillId="0" borderId="0" applyFont="0" applyFill="0" applyBorder="0" applyAlignment="0" applyProtection="0">
      <alignment vertical="center"/>
    </xf>
    <xf numFmtId="0" fontId="2" fillId="0" borderId="0"/>
    <xf numFmtId="0" fontId="2" fillId="0" borderId="0"/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</cellStyleXfs>
  <cellXfs count="183">
    <xf numFmtId="0" fontId="0" fillId="0" borderId="0" xfId="0">
      <alignment vertical="center"/>
    </xf>
    <xf numFmtId="38" fontId="6" fillId="2" borderId="0" xfId="1" applyNumberFormat="1" applyFont="1" applyFill="1">
      <alignment vertical="center"/>
    </xf>
    <xf numFmtId="38" fontId="7" fillId="2" borderId="1" xfId="1" applyNumberFormat="1" applyFont="1" applyFill="1" applyBorder="1" applyAlignment="1">
      <alignment horizontal="centerContinuous" vertical="center"/>
    </xf>
    <xf numFmtId="38" fontId="7" fillId="2" borderId="1" xfId="1" applyNumberFormat="1" applyFont="1" applyFill="1" applyBorder="1" applyAlignment="1">
      <alignment horizontal="center" vertical="top"/>
    </xf>
    <xf numFmtId="38" fontId="7" fillId="2" borderId="1" xfId="1" applyNumberFormat="1" applyFont="1" applyFill="1" applyBorder="1" applyAlignment="1">
      <alignment horizontal="centerContinuous" vertical="center" wrapText="1"/>
    </xf>
    <xf numFmtId="49" fontId="7" fillId="2" borderId="1" xfId="1" applyNumberFormat="1" applyFont="1" applyFill="1" applyBorder="1" applyAlignment="1">
      <alignment horizontal="center" vertical="center"/>
    </xf>
    <xf numFmtId="38" fontId="7" fillId="2" borderId="1" xfId="1" applyNumberFormat="1" applyFont="1" applyFill="1" applyBorder="1" applyAlignment="1">
      <alignment horizontal="center" vertical="center"/>
    </xf>
    <xf numFmtId="38" fontId="8" fillId="2" borderId="1" xfId="1" applyNumberFormat="1" applyFont="1" applyFill="1" applyBorder="1" applyAlignment="1">
      <alignment horizontal="center" vertical="center"/>
    </xf>
    <xf numFmtId="38" fontId="6" fillId="2" borderId="0" xfId="1" applyNumberFormat="1" applyFont="1" applyFill="1" applyAlignment="1">
      <alignment horizontal="center" vertical="center"/>
    </xf>
    <xf numFmtId="38" fontId="12" fillId="0" borderId="0" xfId="1" applyNumberFormat="1" applyFont="1">
      <alignment vertical="center"/>
    </xf>
    <xf numFmtId="0" fontId="13" fillId="3" borderId="5" xfId="2" applyFont="1" applyFill="1" applyBorder="1" applyAlignment="1">
      <alignment horizontal="center" vertical="center"/>
    </xf>
    <xf numFmtId="0" fontId="13" fillId="3" borderId="5" xfId="2" applyFont="1" applyFill="1" applyBorder="1" applyAlignment="1">
      <alignment horizontal="center" vertical="center" wrapText="1"/>
    </xf>
    <xf numFmtId="38" fontId="14" fillId="2" borderId="0" xfId="1" applyNumberFormat="1" applyFont="1" applyFill="1">
      <alignment vertical="center"/>
    </xf>
    <xf numFmtId="38" fontId="15" fillId="2" borderId="0" xfId="1" applyNumberFormat="1" applyFont="1" applyFill="1">
      <alignment vertical="center"/>
    </xf>
    <xf numFmtId="0" fontId="16" fillId="0" borderId="19" xfId="2" applyFont="1" applyBorder="1" applyAlignment="1">
      <alignment horizontal="center" vertical="center" wrapText="1"/>
    </xf>
    <xf numFmtId="181" fontId="14" fillId="2" borderId="20" xfId="6" applyNumberFormat="1" applyFont="1" applyFill="1" applyBorder="1" applyAlignment="1">
      <alignment vertical="center"/>
    </xf>
    <xf numFmtId="0" fontId="16" fillId="0" borderId="22" xfId="2" applyFont="1" applyBorder="1" applyAlignment="1">
      <alignment horizontal="center" vertical="center" wrapText="1"/>
    </xf>
    <xf numFmtId="0" fontId="15" fillId="2" borderId="0" xfId="2" applyFont="1" applyFill="1">
      <alignment vertical="center"/>
    </xf>
    <xf numFmtId="181" fontId="14" fillId="2" borderId="40" xfId="6" applyNumberFormat="1" applyFont="1" applyFill="1" applyBorder="1" applyAlignment="1">
      <alignment vertical="center"/>
    </xf>
    <xf numFmtId="184" fontId="17" fillId="2" borderId="41" xfId="7" applyNumberFormat="1" applyFont="1" applyFill="1" applyBorder="1" applyAlignment="1">
      <alignment horizontal="left"/>
    </xf>
    <xf numFmtId="0" fontId="13" fillId="2" borderId="0" xfId="2" applyFont="1" applyFill="1">
      <alignment vertical="center"/>
    </xf>
    <xf numFmtId="181" fontId="14" fillId="2" borderId="44" xfId="6" applyNumberFormat="1" applyFont="1" applyFill="1" applyBorder="1" applyAlignment="1">
      <alignment vertical="center"/>
    </xf>
    <xf numFmtId="184" fontId="17" fillId="2" borderId="45" xfId="7" applyNumberFormat="1" applyFont="1" applyFill="1" applyBorder="1" applyAlignment="1">
      <alignment horizontal="left" vertical="center"/>
    </xf>
    <xf numFmtId="38" fontId="13" fillId="2" borderId="0" xfId="1" applyNumberFormat="1" applyFont="1" applyFill="1">
      <alignment vertical="center"/>
    </xf>
    <xf numFmtId="181" fontId="18" fillId="4" borderId="11" xfId="6" applyNumberFormat="1" applyFont="1" applyFill="1" applyBorder="1" applyAlignment="1">
      <alignment vertical="center" wrapText="1"/>
    </xf>
    <xf numFmtId="0" fontId="21" fillId="2" borderId="50" xfId="2" applyFont="1" applyFill="1" applyBorder="1" applyAlignment="1">
      <alignment horizontal="left" vertical="center" indent="2"/>
    </xf>
    <xf numFmtId="38" fontId="18" fillId="2" borderId="50" xfId="1" applyNumberFormat="1" applyFont="1" applyFill="1" applyBorder="1" applyAlignment="1">
      <alignment vertical="center" wrapText="1"/>
    </xf>
    <xf numFmtId="49" fontId="18" fillId="2" borderId="50" xfId="8" applyNumberFormat="1" applyFont="1" applyFill="1" applyBorder="1" applyAlignment="1">
      <alignment horizontal="center" vertical="center"/>
    </xf>
    <xf numFmtId="38" fontId="18" fillId="2" borderId="50" xfId="8" applyNumberFormat="1" applyFont="1" applyFill="1" applyBorder="1" applyAlignment="1">
      <alignment horizontal="center" vertical="center"/>
    </xf>
    <xf numFmtId="38" fontId="21" fillId="2" borderId="50" xfId="8" applyNumberFormat="1" applyFont="1" applyFill="1" applyBorder="1" applyAlignment="1">
      <alignment horizontal="center" vertical="center"/>
    </xf>
    <xf numFmtId="38" fontId="18" fillId="2" borderId="0" xfId="1" applyNumberFormat="1" applyFont="1" applyFill="1">
      <alignment vertical="center"/>
    </xf>
    <xf numFmtId="0" fontId="9" fillId="0" borderId="0" xfId="2">
      <alignment vertical="center"/>
    </xf>
    <xf numFmtId="0" fontId="22" fillId="0" borderId="0" xfId="2" applyFont="1">
      <alignment vertical="center"/>
    </xf>
    <xf numFmtId="0" fontId="16" fillId="0" borderId="4" xfId="2" applyFont="1" applyBorder="1" applyAlignment="1">
      <alignment horizontal="center" vertical="center" wrapText="1"/>
    </xf>
    <xf numFmtId="181" fontId="16" fillId="2" borderId="20" xfId="6" applyNumberFormat="1" applyFont="1" applyFill="1" applyBorder="1" applyAlignment="1">
      <alignment horizontal="center" vertical="center"/>
    </xf>
    <xf numFmtId="181" fontId="16" fillId="0" borderId="20" xfId="6" applyNumberFormat="1" applyFont="1" applyBorder="1" applyAlignment="1">
      <alignment horizontal="center" vertical="center"/>
    </xf>
    <xf numFmtId="38" fontId="15" fillId="2" borderId="0" xfId="1" applyNumberFormat="1" applyFont="1" applyFill="1" applyAlignment="1">
      <alignment horizontal="center" vertical="center"/>
    </xf>
    <xf numFmtId="38" fontId="16" fillId="2" borderId="0" xfId="1" applyNumberFormat="1" applyFont="1" applyFill="1" applyAlignment="1">
      <alignment horizontal="center" vertical="center"/>
    </xf>
    <xf numFmtId="0" fontId="23" fillId="2" borderId="0" xfId="2" applyFont="1" applyFill="1" applyAlignment="1">
      <alignment horizontal="left" vertical="center"/>
    </xf>
    <xf numFmtId="0" fontId="24" fillId="2" borderId="0" xfId="2" applyFont="1" applyFill="1" applyAlignment="1">
      <alignment horizontal="left" vertical="center"/>
    </xf>
    <xf numFmtId="0" fontId="23" fillId="2" borderId="0" xfId="2" applyFont="1" applyFill="1" applyAlignment="1">
      <alignment horizontal="center" vertical="center"/>
    </xf>
    <xf numFmtId="0" fontId="24" fillId="2" borderId="0" xfId="2" applyFont="1" applyFill="1" applyAlignment="1">
      <alignment horizontal="center" vertical="center"/>
    </xf>
    <xf numFmtId="0" fontId="24" fillId="2" borderId="2" xfId="2" applyFont="1" applyFill="1" applyBorder="1" applyAlignment="1">
      <alignment horizontal="center" vertical="center"/>
    </xf>
    <xf numFmtId="38" fontId="23" fillId="2" borderId="0" xfId="1" applyNumberFormat="1" applyFont="1" applyFill="1" applyAlignment="1">
      <alignment horizontal="left" vertical="center"/>
    </xf>
    <xf numFmtId="38" fontId="24" fillId="2" borderId="0" xfId="1" applyNumberFormat="1" applyFont="1" applyFill="1" applyAlignment="1">
      <alignment vertical="center" wrapText="1"/>
    </xf>
    <xf numFmtId="38" fontId="24" fillId="2" borderId="0" xfId="1" applyNumberFormat="1" applyFont="1" applyFill="1" applyAlignment="1">
      <alignment horizontal="center" vertical="center"/>
    </xf>
    <xf numFmtId="38" fontId="23" fillId="2" borderId="0" xfId="1" applyNumberFormat="1" applyFont="1" applyFill="1" applyAlignment="1">
      <alignment horizontal="center" vertical="center"/>
    </xf>
    <xf numFmtId="9" fontId="24" fillId="0" borderId="0" xfId="3" applyFont="1" applyFill="1" applyAlignment="1">
      <alignment vertical="center"/>
    </xf>
    <xf numFmtId="38" fontId="23" fillId="2" borderId="0" xfId="1" applyNumberFormat="1" applyFont="1" applyFill="1" applyAlignment="1">
      <alignment horizontal="right" vertical="center"/>
    </xf>
    <xf numFmtId="38" fontId="23" fillId="0" borderId="0" xfId="1" applyNumberFormat="1" applyFont="1" applyAlignment="1">
      <alignment horizontal="center" vertical="center"/>
    </xf>
    <xf numFmtId="38" fontId="24" fillId="0" borderId="0" xfId="1" applyNumberFormat="1" applyFont="1" applyAlignment="1">
      <alignment horizontal="center" vertical="center"/>
    </xf>
    <xf numFmtId="38" fontId="11" fillId="0" borderId="0" xfId="1" applyNumberFormat="1" applyFont="1" applyAlignment="1">
      <alignment horizontal="center" vertical="center"/>
    </xf>
    <xf numFmtId="176" fontId="7" fillId="2" borderId="7" xfId="2" applyNumberFormat="1" applyFont="1" applyFill="1" applyBorder="1" applyAlignment="1">
      <alignment horizontal="center" vertical="center"/>
    </xf>
    <xf numFmtId="178" fontId="7" fillId="0" borderId="13" xfId="4" applyNumberFormat="1" applyFont="1" applyBorder="1" applyAlignment="1">
      <alignment horizontal="center" vertical="center"/>
    </xf>
    <xf numFmtId="0" fontId="20" fillId="0" borderId="4" xfId="2" applyFont="1" applyBorder="1" applyAlignment="1">
      <alignment horizontal="center" vertical="center" wrapText="1"/>
    </xf>
    <xf numFmtId="179" fontId="20" fillId="0" borderId="4" xfId="2" applyNumberFormat="1" applyFont="1" applyBorder="1" applyAlignment="1">
      <alignment horizontal="center" vertical="center" wrapText="1"/>
    </xf>
    <xf numFmtId="38" fontId="20" fillId="2" borderId="4" xfId="1" applyNumberFormat="1" applyFont="1" applyFill="1" applyBorder="1" applyAlignment="1">
      <alignment horizontal="center" vertical="center" wrapText="1"/>
    </xf>
    <xf numFmtId="0" fontId="20" fillId="0" borderId="16" xfId="5" applyFont="1" applyBorder="1" applyAlignment="1">
      <alignment horizontal="center" vertical="center"/>
    </xf>
    <xf numFmtId="0" fontId="20" fillId="0" borderId="17" xfId="5" applyFont="1" applyBorder="1" applyAlignment="1">
      <alignment horizontal="center" vertical="center"/>
    </xf>
    <xf numFmtId="38" fontId="20" fillId="2" borderId="18" xfId="1" applyNumberFormat="1" applyFont="1" applyFill="1" applyBorder="1" applyAlignment="1">
      <alignment horizontal="center" vertical="center"/>
    </xf>
    <xf numFmtId="0" fontId="20" fillId="0" borderId="22" xfId="2" applyFont="1" applyBorder="1" applyAlignment="1">
      <alignment horizontal="center" vertical="center" wrapText="1"/>
    </xf>
    <xf numFmtId="179" fontId="20" fillId="0" borderId="22" xfId="2" applyNumberFormat="1" applyFont="1" applyBorder="1" applyAlignment="1">
      <alignment horizontal="center" vertical="center" wrapText="1"/>
    </xf>
    <xf numFmtId="38" fontId="20" fillId="2" borderId="22" xfId="1" applyNumberFormat="1" applyFont="1" applyFill="1" applyBorder="1" applyAlignment="1">
      <alignment horizontal="center" vertical="center" wrapText="1"/>
    </xf>
    <xf numFmtId="0" fontId="20" fillId="0" borderId="24" xfId="5" applyFont="1" applyBorder="1" applyAlignment="1">
      <alignment horizontal="center" vertical="center"/>
    </xf>
    <xf numFmtId="0" fontId="20" fillId="0" borderId="25" xfId="5" applyFont="1" applyBorder="1" applyAlignment="1">
      <alignment horizontal="center" vertical="center"/>
    </xf>
    <xf numFmtId="38" fontId="20" fillId="2" borderId="26" xfId="1" applyNumberFormat="1" applyFont="1" applyFill="1" applyBorder="1" applyAlignment="1">
      <alignment horizontal="center" vertical="center"/>
    </xf>
    <xf numFmtId="0" fontId="20" fillId="0" borderId="28" xfId="2" applyFont="1" applyBorder="1" applyAlignment="1">
      <alignment horizontal="center" vertical="center" wrapText="1"/>
    </xf>
    <xf numFmtId="182" fontId="20" fillId="0" borderId="28" xfId="2" applyNumberFormat="1" applyFont="1" applyBorder="1" applyAlignment="1">
      <alignment horizontal="center" vertical="center" wrapText="1"/>
    </xf>
    <xf numFmtId="38" fontId="20" fillId="2" borderId="28" xfId="1" applyNumberFormat="1" applyFont="1" applyFill="1" applyBorder="1" applyAlignment="1">
      <alignment horizontal="center" vertical="center" wrapText="1"/>
    </xf>
    <xf numFmtId="0" fontId="20" fillId="0" borderId="29" xfId="5" applyFont="1" applyBorder="1" applyAlignment="1">
      <alignment horizontal="center" vertical="center"/>
    </xf>
    <xf numFmtId="0" fontId="20" fillId="0" borderId="30" xfId="5" applyFont="1" applyBorder="1" applyAlignment="1">
      <alignment horizontal="center" vertical="center"/>
    </xf>
    <xf numFmtId="38" fontId="20" fillId="2" borderId="31" xfId="1" applyNumberFormat="1" applyFont="1" applyFill="1" applyBorder="1" applyAlignment="1">
      <alignment horizontal="center" vertical="center"/>
    </xf>
    <xf numFmtId="182" fontId="20" fillId="0" borderId="22" xfId="2" applyNumberFormat="1" applyFont="1" applyBorder="1" applyAlignment="1">
      <alignment horizontal="center" vertical="center" wrapText="1"/>
    </xf>
    <xf numFmtId="0" fontId="20" fillId="0" borderId="10" xfId="2" applyFont="1" applyBorder="1" applyAlignment="1">
      <alignment horizontal="center" vertical="center" wrapText="1"/>
    </xf>
    <xf numFmtId="182" fontId="20" fillId="0" borderId="10" xfId="2" applyNumberFormat="1" applyFont="1" applyBorder="1" applyAlignment="1">
      <alignment horizontal="center" vertical="center" wrapText="1"/>
    </xf>
    <xf numFmtId="38" fontId="20" fillId="2" borderId="10" xfId="1" applyNumberFormat="1" applyFont="1" applyFill="1" applyBorder="1" applyAlignment="1">
      <alignment horizontal="center" vertical="center" wrapText="1"/>
    </xf>
    <xf numFmtId="0" fontId="20" fillId="0" borderId="33" xfId="5" applyFont="1" applyBorder="1" applyAlignment="1">
      <alignment horizontal="center" vertical="center"/>
    </xf>
    <xf numFmtId="0" fontId="20" fillId="0" borderId="34" xfId="5" applyFont="1" applyBorder="1" applyAlignment="1">
      <alignment horizontal="center" vertical="center"/>
    </xf>
    <xf numFmtId="38" fontId="20" fillId="2" borderId="35" xfId="1" applyNumberFormat="1" applyFont="1" applyFill="1" applyBorder="1" applyAlignment="1">
      <alignment horizontal="center" vertical="center"/>
    </xf>
    <xf numFmtId="3" fontId="20" fillId="2" borderId="1" xfId="7" applyNumberFormat="1" applyFont="1" applyFill="1" applyBorder="1" applyAlignment="1">
      <alignment horizontal="center" vertical="center"/>
    </xf>
    <xf numFmtId="0" fontId="20" fillId="2" borderId="37" xfId="7" applyFont="1" applyFill="1" applyBorder="1" applyAlignment="1">
      <alignment horizontal="center" vertical="center"/>
    </xf>
    <xf numFmtId="0" fontId="20" fillId="2" borderId="38" xfId="7" applyFont="1" applyFill="1" applyBorder="1" applyAlignment="1">
      <alignment horizontal="center" vertical="center"/>
    </xf>
    <xf numFmtId="183" fontId="20" fillId="2" borderId="38" xfId="7" applyNumberFormat="1" applyFont="1" applyFill="1" applyBorder="1" applyAlignment="1">
      <alignment horizontal="center" vertical="center" wrapText="1"/>
    </xf>
    <xf numFmtId="183" fontId="19" fillId="2" borderId="39" xfId="7" applyNumberFormat="1" applyFont="1" applyFill="1" applyBorder="1" applyAlignment="1">
      <alignment horizontal="center" vertical="center" wrapText="1"/>
    </xf>
    <xf numFmtId="38" fontId="20" fillId="0" borderId="38" xfId="7" applyNumberFormat="1" applyFont="1" applyBorder="1" applyAlignment="1">
      <alignment horizontal="center" vertical="center" wrapText="1"/>
    </xf>
    <xf numFmtId="38" fontId="20" fillId="0" borderId="14" xfId="7" applyNumberFormat="1" applyFont="1" applyBorder="1" applyAlignment="1">
      <alignment horizontal="center" vertical="center" wrapText="1"/>
    </xf>
    <xf numFmtId="0" fontId="20" fillId="2" borderId="2" xfId="7" applyFont="1" applyFill="1" applyBorder="1" applyAlignment="1">
      <alignment horizontal="center" vertical="center"/>
    </xf>
    <xf numFmtId="0" fontId="20" fillId="2" borderId="2" xfId="2" applyFont="1" applyFill="1" applyBorder="1" applyAlignment="1">
      <alignment horizontal="left" vertical="center"/>
    </xf>
    <xf numFmtId="0" fontId="20" fillId="0" borderId="41" xfId="2" applyFont="1" applyBorder="1" applyAlignment="1">
      <alignment horizontal="center" vertical="center"/>
    </xf>
    <xf numFmtId="183" fontId="19" fillId="2" borderId="42" xfId="7" applyNumberFormat="1" applyFont="1" applyFill="1" applyBorder="1" applyAlignment="1">
      <alignment horizontal="center" vertical="center" wrapText="1"/>
    </xf>
    <xf numFmtId="183" fontId="20" fillId="2" borderId="0" xfId="7" applyNumberFormat="1" applyFont="1" applyFill="1" applyAlignment="1">
      <alignment vertical="center" wrapText="1"/>
    </xf>
    <xf numFmtId="183" fontId="20" fillId="2" borderId="43" xfId="7" applyNumberFormat="1" applyFont="1" applyFill="1" applyBorder="1" applyAlignment="1">
      <alignment vertical="center" wrapText="1"/>
    </xf>
    <xf numFmtId="0" fontId="20" fillId="2" borderId="0" xfId="7" applyFont="1" applyFill="1" applyAlignment="1">
      <alignment horizontal="center" vertical="center"/>
    </xf>
    <xf numFmtId="0" fontId="20" fillId="2" borderId="0" xfId="2" applyFont="1" applyFill="1" applyAlignment="1">
      <alignment horizontal="left" vertical="center"/>
    </xf>
    <xf numFmtId="0" fontId="20" fillId="0" borderId="46" xfId="2" applyFont="1" applyBorder="1" applyAlignment="1">
      <alignment horizontal="center" vertical="center"/>
    </xf>
    <xf numFmtId="183" fontId="19" fillId="2" borderId="47" xfId="7" applyNumberFormat="1" applyFont="1" applyFill="1" applyBorder="1" applyAlignment="1">
      <alignment horizontal="center" vertical="center" wrapText="1"/>
    </xf>
    <xf numFmtId="184" fontId="20" fillId="2" borderId="36" xfId="7" applyNumberFormat="1" applyFont="1" applyFill="1" applyBorder="1" applyAlignment="1">
      <alignment horizontal="left" vertical="top"/>
    </xf>
    <xf numFmtId="38" fontId="20" fillId="2" borderId="1" xfId="1" applyNumberFormat="1" applyFont="1" applyFill="1" applyBorder="1" applyAlignment="1">
      <alignment vertical="center" wrapText="1"/>
    </xf>
    <xf numFmtId="49" fontId="20" fillId="2" borderId="1" xfId="8" applyNumberFormat="1" applyFont="1" applyFill="1" applyBorder="1" applyAlignment="1">
      <alignment horizontal="center" vertical="center"/>
    </xf>
    <xf numFmtId="0" fontId="20" fillId="0" borderId="48" xfId="2" applyFont="1" applyBorder="1" applyAlignment="1">
      <alignment horizontal="center" vertical="center"/>
    </xf>
    <xf numFmtId="38" fontId="19" fillId="2" borderId="49" xfId="8" applyNumberFormat="1" applyFont="1" applyFill="1" applyBorder="1" applyAlignment="1">
      <alignment horizontal="center" vertical="center"/>
    </xf>
    <xf numFmtId="183" fontId="20" fillId="2" borderId="1" xfId="7" applyNumberFormat="1" applyFont="1" applyFill="1" applyBorder="1" applyAlignment="1">
      <alignment vertical="center" wrapText="1"/>
    </xf>
    <xf numFmtId="183" fontId="20" fillId="2" borderId="49" xfId="7" applyNumberFormat="1" applyFont="1" applyFill="1" applyBorder="1" applyAlignment="1">
      <alignment vertical="center" wrapText="1"/>
    </xf>
    <xf numFmtId="38" fontId="25" fillId="2" borderId="0" xfId="1" applyNumberFormat="1" applyFont="1" applyFill="1">
      <alignment vertical="center"/>
    </xf>
    <xf numFmtId="38" fontId="25" fillId="2" borderId="0" xfId="1" applyNumberFormat="1" applyFont="1" applyFill="1" applyAlignment="1">
      <alignment vertical="center" wrapText="1"/>
    </xf>
    <xf numFmtId="49" fontId="25" fillId="2" borderId="0" xfId="8" applyNumberFormat="1" applyFont="1" applyFill="1" applyAlignment="1">
      <alignment horizontal="center" vertical="center"/>
    </xf>
    <xf numFmtId="0" fontId="26" fillId="0" borderId="0" xfId="2" applyFont="1" applyAlignment="1">
      <alignment horizontal="right" vertical="center"/>
    </xf>
    <xf numFmtId="38" fontId="25" fillId="0" borderId="0" xfId="8" applyNumberFormat="1" applyFont="1" applyAlignment="1">
      <alignment horizontal="center" vertical="center"/>
    </xf>
    <xf numFmtId="0" fontId="27" fillId="2" borderId="0" xfId="2" applyFont="1" applyFill="1" applyAlignment="1">
      <alignment horizontal="left" vertical="center" indent="2"/>
    </xf>
    <xf numFmtId="38" fontId="26" fillId="2" borderId="0" xfId="8" applyNumberFormat="1" applyFont="1" applyFill="1" applyAlignment="1">
      <alignment horizontal="right" vertical="center"/>
    </xf>
    <xf numFmtId="0" fontId="28" fillId="0" borderId="0" xfId="2" applyFont="1">
      <alignment vertical="center"/>
    </xf>
    <xf numFmtId="38" fontId="26" fillId="2" borderId="0" xfId="1" applyNumberFormat="1" applyFont="1" applyFill="1" applyAlignment="1">
      <alignment horizontal="center" vertical="center"/>
    </xf>
    <xf numFmtId="38" fontId="26" fillId="2" borderId="0" xfId="1" applyNumberFormat="1" applyFont="1" applyFill="1">
      <alignment vertical="center"/>
    </xf>
    <xf numFmtId="0" fontId="25" fillId="2" borderId="0" xfId="2" applyFont="1" applyFill="1" applyAlignment="1">
      <alignment horizontal="left" vertical="center" indent="2"/>
    </xf>
    <xf numFmtId="38" fontId="25" fillId="2" borderId="0" xfId="8" applyNumberFormat="1" applyFont="1" applyFill="1" applyAlignment="1">
      <alignment horizontal="center" vertical="center"/>
    </xf>
    <xf numFmtId="38" fontId="26" fillId="2" borderId="0" xfId="8" applyNumberFormat="1" applyFont="1" applyFill="1" applyAlignment="1">
      <alignment vertical="center"/>
    </xf>
    <xf numFmtId="38" fontId="25" fillId="2" borderId="0" xfId="8" applyNumberFormat="1" applyFont="1" applyFill="1" applyAlignment="1">
      <alignment horizontal="right" vertical="center"/>
    </xf>
    <xf numFmtId="38" fontId="26" fillId="2" borderId="0" xfId="8" applyNumberFormat="1" applyFont="1" applyFill="1" applyAlignment="1">
      <alignment horizontal="center" vertical="center"/>
    </xf>
    <xf numFmtId="38" fontId="25" fillId="2" borderId="0" xfId="8" applyNumberFormat="1" applyFont="1" applyFill="1" applyAlignment="1">
      <alignment vertical="center"/>
    </xf>
    <xf numFmtId="183" fontId="25" fillId="2" borderId="0" xfId="7" applyNumberFormat="1" applyFont="1" applyFill="1" applyAlignment="1">
      <alignment horizontal="right" vertical="center" wrapText="1"/>
    </xf>
    <xf numFmtId="38" fontId="26" fillId="2" borderId="0" xfId="1" applyNumberFormat="1" applyFont="1" applyFill="1" applyAlignment="1">
      <alignment vertical="center" wrapText="1"/>
    </xf>
    <xf numFmtId="49" fontId="26" fillId="2" borderId="0" xfId="8" applyNumberFormat="1" applyFont="1" applyFill="1" applyAlignment="1">
      <alignment horizontal="center" vertical="center"/>
    </xf>
    <xf numFmtId="0" fontId="29" fillId="0" borderId="0" xfId="9" applyFont="1" applyAlignment="1">
      <alignment horizontal="left" vertical="center" wrapText="1" indent="1"/>
    </xf>
    <xf numFmtId="0" fontId="29" fillId="0" borderId="0" xfId="9" applyFont="1" applyAlignment="1">
      <alignment vertical="center" wrapText="1"/>
    </xf>
    <xf numFmtId="0" fontId="29" fillId="0" borderId="0" xfId="9" applyFont="1">
      <alignment vertical="center"/>
    </xf>
    <xf numFmtId="0" fontId="30" fillId="0" borderId="0" xfId="2" applyFont="1">
      <alignment vertical="center"/>
    </xf>
    <xf numFmtId="0" fontId="23" fillId="2" borderId="0" xfId="2" applyFont="1" applyFill="1">
      <alignment vertical="center"/>
    </xf>
    <xf numFmtId="0" fontId="24" fillId="2" borderId="0" xfId="2" applyFont="1" applyFill="1">
      <alignment vertical="center"/>
    </xf>
    <xf numFmtId="38" fontId="24" fillId="2" borderId="0" xfId="1" applyNumberFormat="1" applyFont="1" applyFill="1">
      <alignment vertical="center"/>
    </xf>
    <xf numFmtId="49" fontId="20" fillId="0" borderId="4" xfId="1" quotePrefix="1" applyNumberFormat="1" applyFont="1" applyBorder="1" applyAlignment="1">
      <alignment horizontal="center" vertical="center"/>
    </xf>
    <xf numFmtId="0" fontId="31" fillId="2" borderId="0" xfId="2" applyFont="1" applyFill="1">
      <alignment vertical="center"/>
    </xf>
    <xf numFmtId="38" fontId="31" fillId="2" borderId="0" xfId="1" applyNumberFormat="1" applyFont="1" applyFill="1">
      <alignment vertical="center"/>
    </xf>
    <xf numFmtId="38" fontId="32" fillId="0" borderId="0" xfId="1" applyNumberFormat="1" applyFont="1">
      <alignment vertical="center"/>
    </xf>
    <xf numFmtId="49" fontId="20" fillId="0" borderId="22" xfId="1" quotePrefix="1" applyNumberFormat="1" applyFont="1" applyBorder="1" applyAlignment="1">
      <alignment horizontal="center" vertical="center"/>
    </xf>
    <xf numFmtId="38" fontId="33" fillId="2" borderId="0" xfId="1" applyNumberFormat="1" applyFont="1" applyFill="1" applyAlignment="1">
      <alignment horizontal="center" vertical="center"/>
    </xf>
    <xf numFmtId="0" fontId="33" fillId="2" borderId="0" xfId="2" applyFont="1" applyFill="1" applyAlignment="1">
      <alignment horizontal="center" vertical="center"/>
    </xf>
    <xf numFmtId="10" fontId="34" fillId="0" borderId="0" xfId="10" applyNumberFormat="1" applyFont="1" applyAlignment="1">
      <alignment horizontal="center" vertical="center"/>
    </xf>
    <xf numFmtId="38" fontId="34" fillId="2" borderId="0" xfId="1" applyNumberFormat="1" applyFont="1" applyFill="1" applyAlignment="1">
      <alignment horizontal="center" vertical="center"/>
    </xf>
    <xf numFmtId="38" fontId="34" fillId="2" borderId="0" xfId="2" applyNumberFormat="1" applyFont="1" applyFill="1" applyAlignment="1">
      <alignment horizontal="center" vertical="center"/>
    </xf>
    <xf numFmtId="0" fontId="34" fillId="2" borderId="0" xfId="2" applyFont="1" applyFill="1" applyAlignment="1">
      <alignment horizontal="center" vertical="center"/>
    </xf>
    <xf numFmtId="0" fontId="35" fillId="0" borderId="0" xfId="2" applyFont="1" applyAlignment="1">
      <alignment horizontal="center" vertical="center"/>
    </xf>
    <xf numFmtId="40" fontId="33" fillId="2" borderId="0" xfId="1" applyNumberFormat="1" applyFont="1" applyFill="1" applyAlignment="1">
      <alignment horizontal="center" vertical="center"/>
    </xf>
    <xf numFmtId="40" fontId="34" fillId="0" borderId="0" xfId="1" applyNumberFormat="1" applyFont="1" applyAlignment="1">
      <alignment horizontal="center" vertical="center"/>
    </xf>
    <xf numFmtId="38" fontId="3" fillId="2" borderId="0" xfId="1" applyNumberFormat="1" applyFont="1" applyFill="1" applyAlignment="1">
      <alignment horizontal="center" vertical="center"/>
    </xf>
    <xf numFmtId="9" fontId="24" fillId="0" borderId="0" xfId="3" applyFont="1" applyFill="1" applyAlignment="1">
      <alignment horizontal="center" vertical="center"/>
    </xf>
    <xf numFmtId="38" fontId="8" fillId="0" borderId="3" xfId="1" applyNumberFormat="1" applyFont="1" applyBorder="1" applyAlignment="1">
      <alignment horizontal="center" vertical="center"/>
    </xf>
    <xf numFmtId="38" fontId="8" fillId="0" borderId="9" xfId="1" applyNumberFormat="1" applyFont="1" applyBorder="1" applyAlignment="1">
      <alignment horizontal="center" vertical="center"/>
    </xf>
    <xf numFmtId="38" fontId="8" fillId="0" borderId="4" xfId="1" applyNumberFormat="1" applyFont="1" applyBorder="1" applyAlignment="1">
      <alignment horizontal="center" vertical="center"/>
    </xf>
    <xf numFmtId="38" fontId="8" fillId="0" borderId="10" xfId="1" applyNumberFormat="1" applyFont="1" applyBorder="1" applyAlignment="1">
      <alignment horizontal="center" vertical="center"/>
    </xf>
    <xf numFmtId="38" fontId="8" fillId="0" borderId="5" xfId="1" applyNumberFormat="1" applyFont="1" applyBorder="1" applyAlignment="1">
      <alignment horizontal="center" vertical="center" wrapText="1"/>
    </xf>
    <xf numFmtId="38" fontId="8" fillId="0" borderId="11" xfId="1" applyNumberFormat="1" applyFont="1" applyBorder="1" applyAlignment="1">
      <alignment horizontal="center" vertical="center" wrapText="1"/>
    </xf>
    <xf numFmtId="38" fontId="8" fillId="0" borderId="4" xfId="1" applyNumberFormat="1" applyFont="1" applyBorder="1" applyAlignment="1">
      <alignment horizontal="center" vertical="center" wrapText="1"/>
    </xf>
    <xf numFmtId="38" fontId="8" fillId="0" borderId="10" xfId="1" applyNumberFormat="1" applyFont="1" applyBorder="1" applyAlignment="1">
      <alignment horizontal="center" vertical="center" wrapText="1"/>
    </xf>
    <xf numFmtId="38" fontId="7" fillId="0" borderId="6" xfId="1" applyNumberFormat="1" applyFont="1" applyBorder="1" applyAlignment="1">
      <alignment horizontal="center" vertical="center" wrapText="1"/>
    </xf>
    <xf numFmtId="38" fontId="7" fillId="0" borderId="12" xfId="1" applyNumberFormat="1" applyFont="1" applyBorder="1" applyAlignment="1">
      <alignment horizontal="center" vertical="center" wrapText="1"/>
    </xf>
    <xf numFmtId="177" fontId="8" fillId="0" borderId="8" xfId="1" applyNumberFormat="1" applyFont="1" applyBorder="1" applyAlignment="1">
      <alignment horizontal="center" vertical="center"/>
    </xf>
    <xf numFmtId="177" fontId="8" fillId="0" borderId="14" xfId="1" applyNumberFormat="1" applyFont="1" applyBorder="1" applyAlignment="1">
      <alignment horizontal="center" vertical="center"/>
    </xf>
    <xf numFmtId="0" fontId="20" fillId="0" borderId="54" xfId="2" applyFont="1" applyBorder="1" applyAlignment="1">
      <alignment horizontal="center" vertical="center" wrapText="1"/>
    </xf>
    <xf numFmtId="0" fontId="20" fillId="0" borderId="55" xfId="2" applyFont="1" applyBorder="1" applyAlignment="1">
      <alignment horizontal="center" vertical="center" wrapText="1"/>
    </xf>
    <xf numFmtId="180" fontId="20" fillId="0" borderId="4" xfId="1" applyNumberFormat="1" applyFont="1" applyBorder="1" applyAlignment="1">
      <alignment horizontal="center" vertical="center"/>
    </xf>
    <xf numFmtId="180" fontId="20" fillId="0" borderId="22" xfId="1" applyNumberFormat="1" applyFont="1" applyBorder="1" applyAlignment="1">
      <alignment horizontal="center" vertical="center"/>
    </xf>
    <xf numFmtId="38" fontId="19" fillId="2" borderId="15" xfId="1" applyNumberFormat="1" applyFont="1" applyFill="1" applyBorder="1" applyAlignment="1">
      <alignment horizontal="center" vertical="center" wrapText="1"/>
    </xf>
    <xf numFmtId="38" fontId="19" fillId="2" borderId="23" xfId="1" applyNumberFormat="1" applyFont="1" applyFill="1" applyBorder="1" applyAlignment="1">
      <alignment horizontal="center" vertical="center" wrapText="1"/>
    </xf>
    <xf numFmtId="38" fontId="19" fillId="2" borderId="32" xfId="1" applyNumberFormat="1" applyFont="1" applyFill="1" applyBorder="1" applyAlignment="1">
      <alignment horizontal="center" vertical="center" wrapText="1"/>
    </xf>
    <xf numFmtId="0" fontId="20" fillId="0" borderId="27" xfId="2" applyFont="1" applyBorder="1" applyAlignment="1">
      <alignment horizontal="center" vertical="center" wrapText="1"/>
    </xf>
    <xf numFmtId="0" fontId="20" fillId="0" borderId="21" xfId="2" applyFont="1" applyBorder="1" applyAlignment="1">
      <alignment horizontal="center" vertical="center" wrapText="1"/>
    </xf>
    <xf numFmtId="0" fontId="20" fillId="0" borderId="52" xfId="2" applyFont="1" applyBorder="1" applyAlignment="1">
      <alignment horizontal="center" vertical="center" wrapText="1"/>
    </xf>
    <xf numFmtId="0" fontId="20" fillId="0" borderId="9" xfId="2" applyFont="1" applyBorder="1" applyAlignment="1">
      <alignment horizontal="center" vertical="center" wrapText="1"/>
    </xf>
    <xf numFmtId="49" fontId="20" fillId="0" borderId="28" xfId="1" quotePrefix="1" applyNumberFormat="1" applyFont="1" applyBorder="1" applyAlignment="1">
      <alignment horizontal="center" vertical="center"/>
    </xf>
    <xf numFmtId="49" fontId="20" fillId="0" borderId="22" xfId="1" applyNumberFormat="1" applyFont="1" applyBorder="1" applyAlignment="1">
      <alignment horizontal="center" vertical="center"/>
    </xf>
    <xf numFmtId="49" fontId="20" fillId="0" borderId="53" xfId="1" applyNumberFormat="1" applyFont="1" applyBorder="1" applyAlignment="1">
      <alignment horizontal="center" vertical="center"/>
    </xf>
    <xf numFmtId="49" fontId="20" fillId="0" borderId="10" xfId="1" applyNumberFormat="1" applyFont="1" applyBorder="1" applyAlignment="1">
      <alignment horizontal="center" vertical="center"/>
    </xf>
    <xf numFmtId="180" fontId="20" fillId="0" borderId="28" xfId="1" applyNumberFormat="1" applyFont="1" applyBorder="1" applyAlignment="1">
      <alignment horizontal="center" vertical="center"/>
    </xf>
    <xf numFmtId="180" fontId="20" fillId="0" borderId="53" xfId="1" applyNumberFormat="1" applyFont="1" applyBorder="1" applyAlignment="1">
      <alignment horizontal="center" vertical="center"/>
    </xf>
    <xf numFmtId="180" fontId="20" fillId="0" borderId="10" xfId="1" applyNumberFormat="1" applyFont="1" applyBorder="1" applyAlignment="1">
      <alignment horizontal="center" vertical="center"/>
    </xf>
    <xf numFmtId="0" fontId="29" fillId="0" borderId="0" xfId="9" applyFont="1" applyAlignment="1">
      <alignment horizontal="left" vertical="center" wrapText="1"/>
    </xf>
    <xf numFmtId="0" fontId="29" fillId="0" borderId="0" xfId="9" applyFont="1" applyAlignment="1">
      <alignment horizontal="left" vertical="center"/>
    </xf>
    <xf numFmtId="0" fontId="20" fillId="2" borderId="36" xfId="7" applyFont="1" applyFill="1" applyBorder="1" applyAlignment="1">
      <alignment horizontal="center" vertical="center"/>
    </xf>
    <xf numFmtId="0" fontId="20" fillId="2" borderId="1" xfId="7" applyFont="1" applyFill="1" applyBorder="1" applyAlignment="1">
      <alignment horizontal="center" vertical="center"/>
    </xf>
    <xf numFmtId="0" fontId="29" fillId="0" borderId="0" xfId="9" applyFont="1" applyAlignment="1">
      <alignment horizontal="left" vertical="center" wrapText="1" indent="1"/>
    </xf>
    <xf numFmtId="0" fontId="29" fillId="0" borderId="51" xfId="9" applyFont="1" applyBorder="1" applyAlignment="1">
      <alignment horizontal="left" vertical="center" wrapText="1"/>
    </xf>
    <xf numFmtId="0" fontId="29" fillId="0" borderId="51" xfId="9" applyFont="1" applyBorder="1" applyAlignment="1">
      <alignment horizontal="center" vertical="center" wrapText="1"/>
    </xf>
    <xf numFmtId="49" fontId="20" fillId="0" borderId="28" xfId="1" applyNumberFormat="1" applyFont="1" applyBorder="1" applyAlignment="1">
      <alignment horizontal="center" vertical="center"/>
    </xf>
  </cellXfs>
  <cellStyles count="11">
    <cellStyle name="一般" xfId="0" builtinId="0"/>
    <cellStyle name="一般 2" xfId="2" xr:uid="{8AABE3C2-F2FC-43C6-8518-E9E1C8A19391}"/>
    <cellStyle name="一般 3_FY09 Debit Education and Channel Promotion-Radio" xfId="1" xr:uid="{4AD2F9A8-AE9A-47D3-9156-4D582F13D9F8}"/>
    <cellStyle name="一般 4" xfId="9" xr:uid="{83F1AAA2-4E76-49BE-A0FF-76835B35A0B8}"/>
    <cellStyle name="一般_8803-05RD_TOYOTA2005.06_TOYOTA2006.04" xfId="4" xr:uid="{D97908F6-D595-443B-A7A9-5283C6ED28B4}"/>
    <cellStyle name="一般_ballatine's RD CUE_Visa 2008 debit全國加油站-20秒-OUT(1117)-IR_FY09 Debit Education and Channel Promotion-Radio" xfId="8" xr:uid="{18EFDD20-EECA-4AB9-B665-110C0B76B5B4}"/>
    <cellStyle name="一般_ballatine's RD CUE_渣打 1215-0101(1124)" xfId="7" xr:uid="{FDAB049D-E960-4C88-95BE-5E86B517B00B}"/>
    <cellStyle name="一般_ICBC-新卡上市930701sales_980519 昇恒昌季約150萬成本版_0616-0719-山頂鳥_1000531 山頂鳥80萬成本版" xfId="5" xr:uid="{976B0A4B-82AF-4304-9C2D-72494EB65FB6}"/>
    <cellStyle name="千分位 2" xfId="6" xr:uid="{AECA83B9-8D17-478B-86BF-7E4C4BDCD568}"/>
    <cellStyle name="百分比" xfId="10" builtinId="5"/>
    <cellStyle name="百分比 3" xfId="3" xr:uid="{07683C72-4272-471E-A96F-C4DF05C74F9A}"/>
  </cellStyles>
  <dxfs count="8"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</dxfs>
  <tableStyles count="0" defaultTableStyle="TableStyleMedium2" defaultPivotStyle="PivotStyleLight16"/>
  <colors>
    <mruColors>
      <color rgb="FF0000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Radioad/&#23186;&#39636;&#20849;&#29992;/Users/User/AppData/Local/Microsoft/Windows/INetCache/Content.Outlook/CBPR8806/&#23458;&#25142;&#34920;&#21934;/&#21338;&#23821;/honeywell/&#23458;&#25142;&#34920;&#21934;/&#23186;&#39636;&#24235;/&#30041;&#34349;&#39321;/&#23458;&#25142;&#34920;&#21934;/&#21109;&#38598;&#22296;/&#21214;&#21205;&#37096;&#27161;&#26696;/&#29790;&#36842;/&#20844;&#21496;&#34920;&#21934;/Radioad/&#23186;&#39636;&#34389;&#65288;&#30452;&#23458;&#36039;&#26009;&#65294;&#24291;&#21578;&#20844;&#21496;&#65289;/&#26989;&#21209;&#34389;&#30452;&#23458;&#36039;&#26009;/(&#20998;&#39006;)17-&#26381;&#21209;&#39006;/&#20116;&#31119;&#26053;&#36938;/1000310%20&#20116;&#31119;&#22283;&#38555;&#26053;&#34892;&#31038;&#24180;&#32004;&#25104;&#26412;&#29256;.xls" TargetMode="External"/><Relationship Id="rId2" Type="http://schemas.microsoft.com/office/2019/04/relationships/externalLinkLongPath" Target="/Radioad/&#23186;&#39636;&#20849;&#29992;/Users/User/AppData/Local/Microsoft/Windows/INetCache/Content.Outlook/CBPR8806/&#23458;&#25142;&#34920;&#21934;/&#21338;&#23821;/honeywell/&#23458;&#25142;&#34920;&#21934;/&#23186;&#39636;&#24235;/&#30041;&#34349;&#39321;/&#23458;&#25142;&#34920;&#21934;/&#21109;&#38598;&#22296;/&#21214;&#21205;&#37096;&#27161;&#26696;/&#29790;&#36842;/&#20844;&#21496;&#34920;&#21934;/Radioad/&#23186;&#39636;&#34389;&#65288;&#30452;&#23458;&#36039;&#26009;&#65294;&#24291;&#21578;&#20844;&#21496;&#65289;/&#26989;&#21209;&#34389;&#30452;&#23458;&#36039;&#26009;/(&#20998;&#39006;)17-&#26381;&#21209;&#39006;/&#20116;&#31119;&#26053;&#36938;/1000310%20&#20116;&#31119;&#22283;&#38555;&#26053;&#34892;&#31038;&#24180;&#32004;&#25104;&#26412;&#29256;.xls?4AE9043D" TargetMode="External"/><Relationship Id="rId1" Type="http://schemas.openxmlformats.org/officeDocument/2006/relationships/externalLinkPath" Target="file:///\\4AE9043D\1000310%20&#20116;&#31119;&#22283;&#38555;&#26053;&#34892;&#31038;&#24180;&#32004;&#25104;&#26412;&#29256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3"/>
    </xxl21:alternateUrls>
    <sheetNames>
      <sheetName val="3月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B080C8-EB29-43DD-BD85-DD5A5ACE8BC7}">
  <sheetPr>
    <tabColor rgb="FFFFFF00"/>
    <pageSetUpPr fitToPage="1"/>
  </sheetPr>
  <dimension ref="A1:AB32"/>
  <sheetViews>
    <sheetView showGridLines="0" tabSelected="1" view="pageBreakPreview" zoomScale="35" zoomScaleNormal="60" zoomScaleSheetLayoutView="35" zoomScalePageLayoutView="75" workbookViewId="0">
      <selection activeCell="M17" sqref="M17"/>
    </sheetView>
  </sheetViews>
  <sheetFormatPr defaultColWidth="10.3515625" defaultRowHeight="27.7"/>
  <cols>
    <col min="1" max="1" width="31.234375" style="31" customWidth="1"/>
    <col min="2" max="2" width="43.9375" style="31" customWidth="1"/>
    <col min="3" max="3" width="20.87890625" style="31" customWidth="1"/>
    <col min="4" max="4" width="27.8203125" style="31" customWidth="1"/>
    <col min="5" max="5" width="19.29296875" style="31" customWidth="1"/>
    <col min="6" max="6" width="25.87890625" style="31" customWidth="1"/>
    <col min="7" max="7" width="30.46875" style="32" customWidth="1"/>
    <col min="8" max="21" width="16.41015625" style="31" customWidth="1"/>
    <col min="22" max="22" width="14" style="31" customWidth="1"/>
    <col min="23" max="23" width="20" style="140" customWidth="1"/>
    <col min="24" max="24" width="10.87890625" style="31" hidden="1" customWidth="1"/>
    <col min="25" max="26" width="26.76171875" style="31" hidden="1" customWidth="1"/>
    <col min="27" max="27" width="0" style="31" hidden="1" customWidth="1"/>
    <col min="28" max="16384" width="10.3515625" style="31"/>
  </cols>
  <sheetData>
    <row r="1" spans="1:28" s="1" customFormat="1" ht="107.1" customHeight="1">
      <c r="A1" s="143" t="s">
        <v>0</v>
      </c>
      <c r="B1" s="143"/>
      <c r="C1" s="143"/>
      <c r="D1" s="143"/>
      <c r="E1" s="143"/>
      <c r="F1" s="143"/>
      <c r="G1" s="143"/>
      <c r="H1" s="143"/>
      <c r="I1" s="143"/>
      <c r="J1" s="143"/>
      <c r="K1" s="143"/>
      <c r="L1" s="143"/>
      <c r="M1" s="143"/>
      <c r="N1" s="143"/>
      <c r="O1" s="143"/>
      <c r="P1" s="143"/>
      <c r="Q1" s="143"/>
      <c r="R1" s="143"/>
      <c r="S1" s="143"/>
      <c r="T1" s="143"/>
      <c r="U1" s="143"/>
      <c r="V1" s="143"/>
      <c r="W1" s="134"/>
    </row>
    <row r="2" spans="1:28" s="1" customFormat="1" ht="47.35" customHeight="1" thickBot="1">
      <c r="A2" s="2"/>
      <c r="B2" s="3"/>
      <c r="C2" s="4"/>
      <c r="D2" s="5"/>
      <c r="E2" s="6"/>
      <c r="F2" s="2"/>
      <c r="G2" s="6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8"/>
      <c r="W2" s="134"/>
    </row>
    <row r="3" spans="1:28" s="127" customFormat="1" ht="49.45" customHeight="1">
      <c r="A3" s="38" t="s">
        <v>1</v>
      </c>
      <c r="B3" s="126"/>
      <c r="F3" s="39"/>
      <c r="G3" s="40"/>
      <c r="H3" s="41"/>
      <c r="I3" s="41"/>
      <c r="J3" s="41"/>
      <c r="K3" s="41"/>
      <c r="L3" s="41"/>
      <c r="M3" s="41"/>
      <c r="N3" s="41"/>
      <c r="O3" s="41"/>
      <c r="P3" s="41"/>
      <c r="Q3" s="41"/>
      <c r="R3" s="41"/>
      <c r="S3" s="41"/>
      <c r="T3" s="41"/>
      <c r="U3" s="41"/>
      <c r="V3" s="42"/>
      <c r="W3" s="135"/>
    </row>
    <row r="4" spans="1:28" s="127" customFormat="1" ht="49.45" customHeight="1">
      <c r="A4" s="38" t="s">
        <v>2</v>
      </c>
      <c r="B4" s="126" t="s">
        <v>65</v>
      </c>
      <c r="F4" s="39"/>
      <c r="G4" s="40"/>
      <c r="H4" s="144"/>
      <c r="I4" s="144"/>
      <c r="J4" s="144"/>
      <c r="K4" s="144"/>
      <c r="L4" s="144"/>
      <c r="M4" s="144"/>
      <c r="N4" s="144"/>
      <c r="O4" s="144"/>
      <c r="P4" s="144"/>
      <c r="Q4" s="144"/>
      <c r="R4" s="144"/>
      <c r="S4" s="144"/>
      <c r="T4" s="144"/>
      <c r="U4" s="144"/>
      <c r="V4" s="41"/>
      <c r="W4" s="135"/>
      <c r="AA4" s="130"/>
    </row>
    <row r="5" spans="1:28" s="128" customFormat="1" ht="49.45" customHeight="1">
      <c r="A5" s="43" t="s">
        <v>3</v>
      </c>
      <c r="B5" s="43" t="s">
        <v>55</v>
      </c>
      <c r="C5" s="44"/>
      <c r="D5" s="45"/>
      <c r="E5" s="45"/>
      <c r="G5" s="46"/>
      <c r="H5" s="47"/>
      <c r="I5" s="47"/>
      <c r="J5" s="47"/>
      <c r="K5" s="47"/>
      <c r="L5" s="47"/>
      <c r="M5" s="47"/>
      <c r="N5" s="47"/>
      <c r="O5" s="47"/>
      <c r="P5" s="47"/>
      <c r="Q5" s="47"/>
      <c r="R5" s="47"/>
      <c r="S5" s="47"/>
      <c r="T5" s="47"/>
      <c r="U5" s="47"/>
      <c r="V5" s="45"/>
      <c r="W5" s="134"/>
      <c r="AA5" s="131"/>
    </row>
    <row r="6" spans="1:28" s="128" customFormat="1" ht="49.45" customHeight="1" thickBot="1">
      <c r="A6" s="43" t="s">
        <v>4</v>
      </c>
      <c r="B6" s="43" t="s">
        <v>46</v>
      </c>
      <c r="C6" s="44"/>
      <c r="D6" s="45"/>
      <c r="E6" s="45"/>
      <c r="G6" s="48"/>
      <c r="H6" s="51" t="s">
        <v>56</v>
      </c>
      <c r="I6" s="50"/>
      <c r="J6" s="50"/>
      <c r="K6" s="49"/>
      <c r="L6" s="50"/>
      <c r="M6" s="50"/>
      <c r="N6" s="50"/>
      <c r="O6" s="50"/>
      <c r="P6" s="50"/>
      <c r="Q6" s="50"/>
      <c r="R6" s="50"/>
      <c r="S6" s="50"/>
      <c r="T6" s="50"/>
      <c r="U6" s="50"/>
      <c r="V6" s="45"/>
      <c r="W6" s="141">
        <v>1.65</v>
      </c>
      <c r="AA6" s="131"/>
    </row>
    <row r="7" spans="1:28" s="9" customFormat="1" ht="47" customHeight="1" thickBot="1">
      <c r="A7" s="145" t="s">
        <v>5</v>
      </c>
      <c r="B7" s="147" t="s">
        <v>6</v>
      </c>
      <c r="C7" s="149" t="s">
        <v>7</v>
      </c>
      <c r="D7" s="147" t="s">
        <v>8</v>
      </c>
      <c r="E7" s="147" t="s">
        <v>9</v>
      </c>
      <c r="F7" s="151" t="s">
        <v>10</v>
      </c>
      <c r="G7" s="153" t="s">
        <v>11</v>
      </c>
      <c r="H7" s="52">
        <v>21</v>
      </c>
      <c r="I7" s="52">
        <f t="shared" ref="I7:O7" si="0">H7+1</f>
        <v>22</v>
      </c>
      <c r="J7" s="52">
        <f t="shared" si="0"/>
        <v>23</v>
      </c>
      <c r="K7" s="52">
        <f t="shared" si="0"/>
        <v>24</v>
      </c>
      <c r="L7" s="52">
        <f t="shared" si="0"/>
        <v>25</v>
      </c>
      <c r="M7" s="52">
        <f t="shared" si="0"/>
        <v>26</v>
      </c>
      <c r="N7" s="52">
        <f t="shared" si="0"/>
        <v>27</v>
      </c>
      <c r="O7" s="52">
        <f t="shared" si="0"/>
        <v>28</v>
      </c>
      <c r="P7" s="52">
        <f>O7+1</f>
        <v>29</v>
      </c>
      <c r="Q7" s="52">
        <v>30</v>
      </c>
      <c r="R7" s="52">
        <v>1</v>
      </c>
      <c r="S7" s="52">
        <v>2</v>
      </c>
      <c r="T7" s="52">
        <v>3</v>
      </c>
      <c r="U7" s="52">
        <v>4</v>
      </c>
      <c r="V7" s="155" t="s">
        <v>12</v>
      </c>
      <c r="W7" s="142">
        <v>1</v>
      </c>
      <c r="AA7" s="132"/>
    </row>
    <row r="8" spans="1:28" s="9" customFormat="1" ht="47" customHeight="1" thickBot="1">
      <c r="A8" s="146"/>
      <c r="B8" s="148"/>
      <c r="C8" s="150"/>
      <c r="D8" s="148"/>
      <c r="E8" s="148"/>
      <c r="F8" s="152"/>
      <c r="G8" s="154"/>
      <c r="H8" s="53" t="s">
        <v>13</v>
      </c>
      <c r="I8" s="53" t="s">
        <v>14</v>
      </c>
      <c r="J8" s="53" t="s">
        <v>15</v>
      </c>
      <c r="K8" s="53" t="s">
        <v>16</v>
      </c>
      <c r="L8" s="53" t="s">
        <v>17</v>
      </c>
      <c r="M8" s="53" t="s">
        <v>18</v>
      </c>
      <c r="N8" s="53" t="s">
        <v>19</v>
      </c>
      <c r="O8" s="53" t="s">
        <v>13</v>
      </c>
      <c r="P8" s="53" t="s">
        <v>14</v>
      </c>
      <c r="Q8" s="53" t="s">
        <v>15</v>
      </c>
      <c r="R8" s="53" t="s">
        <v>16</v>
      </c>
      <c r="S8" s="53" t="s">
        <v>17</v>
      </c>
      <c r="T8" s="53" t="s">
        <v>18</v>
      </c>
      <c r="U8" s="53" t="s">
        <v>19</v>
      </c>
      <c r="V8" s="156"/>
      <c r="W8" s="136" t="s">
        <v>53</v>
      </c>
      <c r="X8" s="9" t="s">
        <v>20</v>
      </c>
      <c r="Y8" s="10" t="s">
        <v>21</v>
      </c>
      <c r="Z8" s="11" t="s">
        <v>22</v>
      </c>
      <c r="AA8" s="131"/>
      <c r="AB8" s="12"/>
    </row>
    <row r="9" spans="1:28" s="13" customFormat="1" ht="54" customHeight="1">
      <c r="A9" s="157" t="s">
        <v>47</v>
      </c>
      <c r="B9" s="54" t="s">
        <v>48</v>
      </c>
      <c r="C9" s="55" t="s">
        <v>50</v>
      </c>
      <c r="D9" s="129" t="s">
        <v>38</v>
      </c>
      <c r="E9" s="159" t="str">
        <f>B4</f>
        <v>30秒</v>
      </c>
      <c r="F9" s="56">
        <f>300000/420*V9*W6</f>
        <v>99000</v>
      </c>
      <c r="G9" s="161">
        <v>200000</v>
      </c>
      <c r="H9" s="57">
        <v>6</v>
      </c>
      <c r="I9" s="58">
        <f t="shared" ref="I9:U11" si="1">H9</f>
        <v>6</v>
      </c>
      <c r="J9" s="58">
        <f>I9</f>
        <v>6</v>
      </c>
      <c r="K9" s="58">
        <f t="shared" si="1"/>
        <v>6</v>
      </c>
      <c r="L9" s="58">
        <f>K9</f>
        <v>6</v>
      </c>
      <c r="M9" s="58">
        <f t="shared" si="1"/>
        <v>6</v>
      </c>
      <c r="N9" s="58">
        <f>M9</f>
        <v>6</v>
      </c>
      <c r="O9" s="58">
        <f>N9</f>
        <v>6</v>
      </c>
      <c r="P9" s="58">
        <f>O9</f>
        <v>6</v>
      </c>
      <c r="Q9" s="58">
        <f>P9</f>
        <v>6</v>
      </c>
      <c r="R9" s="58">
        <f>Q9</f>
        <v>6</v>
      </c>
      <c r="S9" s="58">
        <f>P9</f>
        <v>6</v>
      </c>
      <c r="T9" s="58">
        <f t="shared" si="1"/>
        <v>6</v>
      </c>
      <c r="U9" s="58">
        <f t="shared" si="1"/>
        <v>6</v>
      </c>
      <c r="V9" s="59">
        <f t="shared" ref="V9:V16" si="2">SUM(H9:U9)</f>
        <v>84</v>
      </c>
      <c r="W9" s="137">
        <f>250000/420*W6*V9</f>
        <v>82499.999999999985</v>
      </c>
      <c r="X9" s="14" t="s">
        <v>23</v>
      </c>
      <c r="Y9" s="15" t="e">
        <f>C9*V9</f>
        <v>#VALUE!</v>
      </c>
      <c r="Z9" s="15" t="e">
        <f>C9*1000/24/6*V9</f>
        <v>#VALUE!</v>
      </c>
      <c r="AA9" s="12"/>
      <c r="AB9" s="12"/>
    </row>
    <row r="10" spans="1:28" s="13" customFormat="1" ht="54" customHeight="1" thickBot="1">
      <c r="A10" s="158"/>
      <c r="B10" s="60" t="s">
        <v>49</v>
      </c>
      <c r="C10" s="61" t="s">
        <v>51</v>
      </c>
      <c r="D10" s="133" t="s">
        <v>39</v>
      </c>
      <c r="E10" s="160"/>
      <c r="F10" s="62" t="s">
        <v>40</v>
      </c>
      <c r="G10" s="162"/>
      <c r="H10" s="63">
        <v>11</v>
      </c>
      <c r="I10" s="64">
        <f>H10</f>
        <v>11</v>
      </c>
      <c r="J10" s="64">
        <f>I10</f>
        <v>11</v>
      </c>
      <c r="K10" s="64">
        <f t="shared" si="1"/>
        <v>11</v>
      </c>
      <c r="L10" s="64">
        <v>10</v>
      </c>
      <c r="M10" s="64">
        <f t="shared" si="1"/>
        <v>10</v>
      </c>
      <c r="N10" s="64">
        <f>M10</f>
        <v>10</v>
      </c>
      <c r="O10" s="64">
        <f t="shared" si="1"/>
        <v>10</v>
      </c>
      <c r="P10" s="64">
        <f t="shared" ref="P10:R11" si="3">O10</f>
        <v>10</v>
      </c>
      <c r="Q10" s="64">
        <f t="shared" si="3"/>
        <v>10</v>
      </c>
      <c r="R10" s="64">
        <f t="shared" si="3"/>
        <v>10</v>
      </c>
      <c r="S10" s="64">
        <f t="shared" ref="S10" si="4">P10</f>
        <v>10</v>
      </c>
      <c r="T10" s="64">
        <f t="shared" si="1"/>
        <v>10</v>
      </c>
      <c r="U10" s="64">
        <f>T10</f>
        <v>10</v>
      </c>
      <c r="V10" s="65">
        <f t="shared" si="2"/>
        <v>144</v>
      </c>
      <c r="W10" s="137"/>
      <c r="X10" s="16" t="s">
        <v>24</v>
      </c>
      <c r="Y10" s="15" t="e">
        <f>C10*V10</f>
        <v>#VALUE!</v>
      </c>
      <c r="Z10" s="15" t="e">
        <f>C10*1000/24/6*V10</f>
        <v>#VALUE!</v>
      </c>
      <c r="AA10" s="12"/>
      <c r="AB10" s="12"/>
    </row>
    <row r="11" spans="1:28" s="13" customFormat="1" ht="54" customHeight="1" thickBot="1">
      <c r="A11" s="164" t="s">
        <v>25</v>
      </c>
      <c r="B11" s="66" t="s">
        <v>67</v>
      </c>
      <c r="C11" s="67">
        <v>1673</v>
      </c>
      <c r="D11" s="168" t="s">
        <v>66</v>
      </c>
      <c r="E11" s="172" t="str">
        <f>B4</f>
        <v>30秒</v>
      </c>
      <c r="F11" s="68">
        <f>250000/480*V11*W7</f>
        <v>91145.833333333343</v>
      </c>
      <c r="G11" s="162"/>
      <c r="H11" s="69">
        <v>13</v>
      </c>
      <c r="I11" s="70">
        <f>H11</f>
        <v>13</v>
      </c>
      <c r="J11" s="70">
        <f t="shared" si="1"/>
        <v>13</v>
      </c>
      <c r="K11" s="70">
        <f t="shared" si="1"/>
        <v>13</v>
      </c>
      <c r="L11" s="70">
        <f t="shared" si="1"/>
        <v>13</v>
      </c>
      <c r="M11" s="70">
        <f t="shared" si="1"/>
        <v>13</v>
      </c>
      <c r="N11" s="70">
        <f t="shared" si="1"/>
        <v>13</v>
      </c>
      <c r="O11" s="70">
        <v>12</v>
      </c>
      <c r="P11" s="70">
        <f t="shared" si="3"/>
        <v>12</v>
      </c>
      <c r="Q11" s="70">
        <f t="shared" si="3"/>
        <v>12</v>
      </c>
      <c r="R11" s="70">
        <f t="shared" si="3"/>
        <v>12</v>
      </c>
      <c r="S11" s="70">
        <f>R11</f>
        <v>12</v>
      </c>
      <c r="T11" s="70">
        <f t="shared" si="1"/>
        <v>12</v>
      </c>
      <c r="U11" s="70">
        <f t="shared" si="1"/>
        <v>12</v>
      </c>
      <c r="V11" s="71">
        <f t="shared" si="2"/>
        <v>175</v>
      </c>
      <c r="W11" s="137">
        <f>320000/480*W7*V11</f>
        <v>116666.66666666666</v>
      </c>
      <c r="X11" s="33" t="s">
        <v>26</v>
      </c>
      <c r="Y11" s="34">
        <f t="shared" ref="Y11:Y16" si="5">V11*C11</f>
        <v>292775</v>
      </c>
      <c r="Z11" s="35">
        <f t="shared" ref="Z11:Z16" si="6">1000*(C11/24/6)*V11</f>
        <v>2033159.722222222</v>
      </c>
    </row>
    <row r="12" spans="1:28" s="13" customFormat="1" ht="54" customHeight="1" thickBot="1">
      <c r="A12" s="165"/>
      <c r="B12" s="60" t="s">
        <v>27</v>
      </c>
      <c r="C12" s="72">
        <v>788</v>
      </c>
      <c r="D12" s="169"/>
      <c r="E12" s="160"/>
      <c r="F12" s="62">
        <f>150000/480*V12*W7</f>
        <v>54687.5</v>
      </c>
      <c r="G12" s="162"/>
      <c r="H12" s="63">
        <f>H11</f>
        <v>13</v>
      </c>
      <c r="I12" s="64">
        <f>I11</f>
        <v>13</v>
      </c>
      <c r="J12" s="64">
        <f t="shared" ref="J12:U12" si="7">J11</f>
        <v>13</v>
      </c>
      <c r="K12" s="64">
        <f t="shared" si="7"/>
        <v>13</v>
      </c>
      <c r="L12" s="64">
        <f t="shared" si="7"/>
        <v>13</v>
      </c>
      <c r="M12" s="64">
        <f t="shared" si="7"/>
        <v>13</v>
      </c>
      <c r="N12" s="64">
        <f t="shared" si="7"/>
        <v>13</v>
      </c>
      <c r="O12" s="64">
        <f t="shared" si="7"/>
        <v>12</v>
      </c>
      <c r="P12" s="64">
        <f t="shared" si="7"/>
        <v>12</v>
      </c>
      <c r="Q12" s="64">
        <f>Q11</f>
        <v>12</v>
      </c>
      <c r="R12" s="64">
        <f>R11</f>
        <v>12</v>
      </c>
      <c r="S12" s="64">
        <f t="shared" si="7"/>
        <v>12</v>
      </c>
      <c r="T12" s="64">
        <f t="shared" si="7"/>
        <v>12</v>
      </c>
      <c r="U12" s="64">
        <f t="shared" si="7"/>
        <v>12</v>
      </c>
      <c r="V12" s="65">
        <f t="shared" si="2"/>
        <v>175</v>
      </c>
      <c r="W12" s="137"/>
      <c r="X12" s="33" t="s">
        <v>26</v>
      </c>
      <c r="Y12" s="34">
        <f t="shared" si="5"/>
        <v>137900</v>
      </c>
      <c r="Z12" s="35">
        <f t="shared" si="6"/>
        <v>957638.88888888899</v>
      </c>
    </row>
    <row r="13" spans="1:28" s="13" customFormat="1" ht="54" customHeight="1" thickBot="1">
      <c r="A13" s="165"/>
      <c r="B13" s="60" t="s">
        <v>42</v>
      </c>
      <c r="C13" s="72">
        <v>850</v>
      </c>
      <c r="D13" s="169"/>
      <c r="E13" s="160"/>
      <c r="F13" s="62">
        <f>150000/480*V13*W7</f>
        <v>54687.5</v>
      </c>
      <c r="G13" s="162"/>
      <c r="H13" s="63">
        <f>H11</f>
        <v>13</v>
      </c>
      <c r="I13" s="64">
        <f>I11</f>
        <v>13</v>
      </c>
      <c r="J13" s="64">
        <f t="shared" ref="J13:U13" si="8">J11</f>
        <v>13</v>
      </c>
      <c r="K13" s="64">
        <f t="shared" si="8"/>
        <v>13</v>
      </c>
      <c r="L13" s="64">
        <f t="shared" si="8"/>
        <v>13</v>
      </c>
      <c r="M13" s="64">
        <f t="shared" si="8"/>
        <v>13</v>
      </c>
      <c r="N13" s="64">
        <f t="shared" si="8"/>
        <v>13</v>
      </c>
      <c r="O13" s="64">
        <f t="shared" si="8"/>
        <v>12</v>
      </c>
      <c r="P13" s="64">
        <f t="shared" si="8"/>
        <v>12</v>
      </c>
      <c r="Q13" s="64">
        <f>Q11</f>
        <v>12</v>
      </c>
      <c r="R13" s="64">
        <f>R11</f>
        <v>12</v>
      </c>
      <c r="S13" s="64">
        <f t="shared" si="8"/>
        <v>12</v>
      </c>
      <c r="T13" s="64">
        <f t="shared" si="8"/>
        <v>12</v>
      </c>
      <c r="U13" s="64">
        <f t="shared" si="8"/>
        <v>12</v>
      </c>
      <c r="V13" s="65">
        <f t="shared" si="2"/>
        <v>175</v>
      </c>
      <c r="W13" s="137"/>
      <c r="X13" s="33" t="s">
        <v>26</v>
      </c>
      <c r="Y13" s="34">
        <f t="shared" si="5"/>
        <v>148750</v>
      </c>
      <c r="Z13" s="35">
        <f t="shared" si="6"/>
        <v>1032986.111111111</v>
      </c>
    </row>
    <row r="14" spans="1:28" s="13" customFormat="1" ht="54" customHeight="1" thickBot="1">
      <c r="A14" s="166"/>
      <c r="B14" s="60" t="s">
        <v>44</v>
      </c>
      <c r="C14" s="72">
        <v>501</v>
      </c>
      <c r="D14" s="170"/>
      <c r="E14" s="173"/>
      <c r="F14" s="62">
        <f>100000/480*V14*W7</f>
        <v>36458.333333333336</v>
      </c>
      <c r="G14" s="162"/>
      <c r="H14" s="63">
        <f t="shared" ref="H14:U15" si="9">H11</f>
        <v>13</v>
      </c>
      <c r="I14" s="64">
        <f t="shared" si="9"/>
        <v>13</v>
      </c>
      <c r="J14" s="64">
        <f t="shared" si="9"/>
        <v>13</v>
      </c>
      <c r="K14" s="64">
        <f t="shared" si="9"/>
        <v>13</v>
      </c>
      <c r="L14" s="64">
        <f t="shared" si="9"/>
        <v>13</v>
      </c>
      <c r="M14" s="64">
        <f t="shared" si="9"/>
        <v>13</v>
      </c>
      <c r="N14" s="64">
        <f t="shared" si="9"/>
        <v>13</v>
      </c>
      <c r="O14" s="64">
        <f t="shared" si="9"/>
        <v>12</v>
      </c>
      <c r="P14" s="64">
        <f t="shared" si="9"/>
        <v>12</v>
      </c>
      <c r="Q14" s="64">
        <f>Q11</f>
        <v>12</v>
      </c>
      <c r="R14" s="64">
        <f>R11</f>
        <v>12</v>
      </c>
      <c r="S14" s="64">
        <f t="shared" si="9"/>
        <v>12</v>
      </c>
      <c r="T14" s="64">
        <f t="shared" si="9"/>
        <v>12</v>
      </c>
      <c r="U14" s="64">
        <f t="shared" si="9"/>
        <v>12</v>
      </c>
      <c r="V14" s="65">
        <f t="shared" si="2"/>
        <v>175</v>
      </c>
      <c r="W14" s="137"/>
      <c r="X14" s="33" t="s">
        <v>26</v>
      </c>
      <c r="Y14" s="34">
        <f t="shared" si="5"/>
        <v>87675</v>
      </c>
      <c r="Z14" s="35">
        <f t="shared" si="6"/>
        <v>608854.16666666663</v>
      </c>
    </row>
    <row r="15" spans="1:28" s="13" customFormat="1" ht="54" customHeight="1" thickBot="1">
      <c r="A15" s="166"/>
      <c r="B15" s="60" t="s">
        <v>43</v>
      </c>
      <c r="C15" s="72">
        <v>503</v>
      </c>
      <c r="D15" s="170"/>
      <c r="E15" s="173"/>
      <c r="F15" s="62">
        <f>100000/480*V15*W7</f>
        <v>36458.333333333336</v>
      </c>
      <c r="G15" s="162"/>
      <c r="H15" s="63">
        <f t="shared" si="9"/>
        <v>13</v>
      </c>
      <c r="I15" s="64">
        <f t="shared" si="9"/>
        <v>13</v>
      </c>
      <c r="J15" s="64">
        <f t="shared" si="9"/>
        <v>13</v>
      </c>
      <c r="K15" s="64">
        <f t="shared" si="9"/>
        <v>13</v>
      </c>
      <c r="L15" s="64">
        <f t="shared" si="9"/>
        <v>13</v>
      </c>
      <c r="M15" s="64">
        <f t="shared" si="9"/>
        <v>13</v>
      </c>
      <c r="N15" s="64">
        <f t="shared" si="9"/>
        <v>13</v>
      </c>
      <c r="O15" s="64">
        <f t="shared" si="9"/>
        <v>12</v>
      </c>
      <c r="P15" s="64">
        <f t="shared" si="9"/>
        <v>12</v>
      </c>
      <c r="Q15" s="64">
        <f>Q11</f>
        <v>12</v>
      </c>
      <c r="R15" s="64">
        <f>R11</f>
        <v>12</v>
      </c>
      <c r="S15" s="64">
        <f t="shared" si="9"/>
        <v>12</v>
      </c>
      <c r="T15" s="64">
        <f t="shared" si="9"/>
        <v>12</v>
      </c>
      <c r="U15" s="64">
        <f t="shared" si="9"/>
        <v>12</v>
      </c>
      <c r="V15" s="65">
        <f t="shared" si="2"/>
        <v>175</v>
      </c>
      <c r="W15" s="137"/>
      <c r="X15" s="33" t="s">
        <v>26</v>
      </c>
      <c r="Y15" s="34">
        <f t="shared" si="5"/>
        <v>88025</v>
      </c>
      <c r="Z15" s="35">
        <f t="shared" si="6"/>
        <v>611284.72222222213</v>
      </c>
    </row>
    <row r="16" spans="1:28" s="36" customFormat="1" ht="54" customHeight="1" thickBot="1">
      <c r="A16" s="167"/>
      <c r="B16" s="73" t="s">
        <v>45</v>
      </c>
      <c r="C16" s="74">
        <v>182</v>
      </c>
      <c r="D16" s="171"/>
      <c r="E16" s="174"/>
      <c r="F16" s="75">
        <f>62500/480*V16*W7</f>
        <v>22786.458333333336</v>
      </c>
      <c r="G16" s="163"/>
      <c r="H16" s="76">
        <f>H11</f>
        <v>13</v>
      </c>
      <c r="I16" s="77">
        <f>I11</f>
        <v>13</v>
      </c>
      <c r="J16" s="77">
        <f t="shared" ref="J16:U16" si="10">J11</f>
        <v>13</v>
      </c>
      <c r="K16" s="77">
        <f t="shared" si="10"/>
        <v>13</v>
      </c>
      <c r="L16" s="77">
        <f t="shared" si="10"/>
        <v>13</v>
      </c>
      <c r="M16" s="77">
        <f t="shared" si="10"/>
        <v>13</v>
      </c>
      <c r="N16" s="77">
        <f t="shared" si="10"/>
        <v>13</v>
      </c>
      <c r="O16" s="77">
        <f t="shared" si="10"/>
        <v>12</v>
      </c>
      <c r="P16" s="77">
        <f t="shared" si="10"/>
        <v>12</v>
      </c>
      <c r="Q16" s="77">
        <f>Q11</f>
        <v>12</v>
      </c>
      <c r="R16" s="77">
        <f>R11</f>
        <v>12</v>
      </c>
      <c r="S16" s="77">
        <f t="shared" si="10"/>
        <v>12</v>
      </c>
      <c r="T16" s="77">
        <f t="shared" si="10"/>
        <v>12</v>
      </c>
      <c r="U16" s="77">
        <f t="shared" si="10"/>
        <v>12</v>
      </c>
      <c r="V16" s="78">
        <f t="shared" si="2"/>
        <v>175</v>
      </c>
      <c r="W16" s="137"/>
      <c r="X16" s="33" t="s">
        <v>26</v>
      </c>
      <c r="Y16" s="34">
        <f t="shared" si="5"/>
        <v>31850</v>
      </c>
      <c r="Z16" s="35">
        <f t="shared" si="6"/>
        <v>221180.55555555556</v>
      </c>
      <c r="AA16" s="37"/>
      <c r="AB16" s="37"/>
    </row>
    <row r="17" spans="1:26" s="17" customFormat="1" ht="52" customHeight="1" thickBot="1">
      <c r="A17" s="177"/>
      <c r="B17" s="178"/>
      <c r="C17" s="79"/>
      <c r="D17" s="80"/>
      <c r="E17" s="81" t="s">
        <v>28</v>
      </c>
      <c r="F17" s="82">
        <f>SUM(F9:F16)</f>
        <v>395223.95833333331</v>
      </c>
      <c r="G17" s="83">
        <f>SUM(G9:G13)</f>
        <v>200000</v>
      </c>
      <c r="H17" s="84">
        <f t="shared" ref="H17:U17" si="11">SUM(H9:H16)</f>
        <v>95</v>
      </c>
      <c r="I17" s="84">
        <f t="shared" si="11"/>
        <v>95</v>
      </c>
      <c r="J17" s="84">
        <f t="shared" si="11"/>
        <v>95</v>
      </c>
      <c r="K17" s="84">
        <f t="shared" si="11"/>
        <v>95</v>
      </c>
      <c r="L17" s="84">
        <f t="shared" si="11"/>
        <v>94</v>
      </c>
      <c r="M17" s="84">
        <f t="shared" si="11"/>
        <v>94</v>
      </c>
      <c r="N17" s="84">
        <f t="shared" si="11"/>
        <v>94</v>
      </c>
      <c r="O17" s="84">
        <f t="shared" si="11"/>
        <v>88</v>
      </c>
      <c r="P17" s="84">
        <f t="shared" si="11"/>
        <v>88</v>
      </c>
      <c r="Q17" s="84">
        <f t="shared" si="11"/>
        <v>88</v>
      </c>
      <c r="R17" s="84">
        <f t="shared" si="11"/>
        <v>88</v>
      </c>
      <c r="S17" s="84">
        <f t="shared" si="11"/>
        <v>88</v>
      </c>
      <c r="T17" s="84">
        <f t="shared" si="11"/>
        <v>88</v>
      </c>
      <c r="U17" s="84">
        <f t="shared" si="11"/>
        <v>88</v>
      </c>
      <c r="V17" s="85">
        <f>SUM(V7:V16)</f>
        <v>1278</v>
      </c>
      <c r="W17" s="138">
        <f>SUM(W9:W16)</f>
        <v>199166.66666666663</v>
      </c>
      <c r="Y17" s="18"/>
      <c r="Z17" s="18"/>
    </row>
    <row r="18" spans="1:26" s="20" customFormat="1" ht="43.7" customHeight="1">
      <c r="A18" s="19"/>
      <c r="B18" s="86"/>
      <c r="C18" s="86"/>
      <c r="D18" s="86"/>
      <c r="E18" s="87"/>
      <c r="F18" s="88" t="s">
        <v>29</v>
      </c>
      <c r="G18" s="89">
        <v>0</v>
      </c>
      <c r="H18" s="90"/>
      <c r="I18" s="90"/>
      <c r="J18" s="90"/>
      <c r="K18" s="90"/>
      <c r="L18" s="90"/>
      <c r="M18" s="90"/>
      <c r="N18" s="90"/>
      <c r="O18" s="90"/>
      <c r="P18" s="90"/>
      <c r="Q18" s="90"/>
      <c r="R18" s="90"/>
      <c r="S18" s="90"/>
      <c r="T18" s="90"/>
      <c r="U18" s="90"/>
      <c r="V18" s="91"/>
      <c r="W18" s="139"/>
      <c r="Y18" s="21"/>
      <c r="Z18" s="21"/>
    </row>
    <row r="19" spans="1:26" s="20" customFormat="1" ht="43.7" customHeight="1">
      <c r="A19" s="22"/>
      <c r="B19" s="92"/>
      <c r="C19" s="92"/>
      <c r="D19" s="92"/>
      <c r="E19" s="93"/>
      <c r="F19" s="94" t="s">
        <v>30</v>
      </c>
      <c r="G19" s="95">
        <f>SUM(G17:G18)*5%</f>
        <v>10000</v>
      </c>
      <c r="H19" s="90"/>
      <c r="I19" s="90"/>
      <c r="J19" s="90"/>
      <c r="K19" s="90"/>
      <c r="L19" s="90"/>
      <c r="M19" s="90"/>
      <c r="N19" s="90"/>
      <c r="O19" s="90"/>
      <c r="P19" s="90"/>
      <c r="Q19" s="90"/>
      <c r="R19" s="90"/>
      <c r="S19" s="90"/>
      <c r="T19" s="90"/>
      <c r="U19" s="90"/>
      <c r="V19" s="91"/>
      <c r="W19" s="139"/>
      <c r="Y19" s="18"/>
      <c r="Z19" s="18"/>
    </row>
    <row r="20" spans="1:26" s="23" customFormat="1" ht="43.7" customHeight="1" thickBot="1">
      <c r="A20" s="96"/>
      <c r="B20" s="97"/>
      <c r="C20" s="97"/>
      <c r="D20" s="97"/>
      <c r="E20" s="98"/>
      <c r="F20" s="99" t="s">
        <v>31</v>
      </c>
      <c r="G20" s="100">
        <f>SUM(G17:G19)</f>
        <v>210000</v>
      </c>
      <c r="H20" s="101"/>
      <c r="I20" s="101"/>
      <c r="J20" s="101"/>
      <c r="K20" s="101"/>
      <c r="L20" s="101"/>
      <c r="M20" s="101"/>
      <c r="N20" s="101"/>
      <c r="O20" s="101"/>
      <c r="P20" s="101"/>
      <c r="Q20" s="101"/>
      <c r="R20" s="101"/>
      <c r="S20" s="101"/>
      <c r="T20" s="101"/>
      <c r="U20" s="101"/>
      <c r="V20" s="102"/>
      <c r="W20" s="137"/>
      <c r="Y20" s="24" t="e">
        <f>SUM(Y9:Y18)</f>
        <v>#VALUE!</v>
      </c>
      <c r="Z20" s="24" t="e">
        <f>SUM(Z9:Z18)</f>
        <v>#VALUE!</v>
      </c>
    </row>
    <row r="21" spans="1:26" s="103" customFormat="1" ht="46.35" customHeight="1">
      <c r="A21" s="103" t="s">
        <v>32</v>
      </c>
      <c r="B21" s="104"/>
      <c r="C21" s="104"/>
      <c r="D21" s="104"/>
      <c r="E21" s="105"/>
      <c r="F21" s="106"/>
      <c r="G21" s="106"/>
      <c r="H21" s="106"/>
      <c r="I21" s="106"/>
      <c r="J21" s="106"/>
      <c r="K21" s="106"/>
      <c r="L21" s="107"/>
      <c r="M21" s="107"/>
      <c r="N21" s="107"/>
      <c r="O21" s="107"/>
      <c r="P21" s="107"/>
      <c r="Q21" s="107"/>
      <c r="R21" s="107"/>
      <c r="S21" s="107"/>
      <c r="T21" s="107"/>
      <c r="U21" s="107"/>
      <c r="W21" s="137"/>
    </row>
    <row r="22" spans="1:26" s="112" customFormat="1" ht="41.45" customHeight="1">
      <c r="A22" s="108" t="s">
        <v>57</v>
      </c>
      <c r="B22" s="104"/>
      <c r="C22" s="104"/>
      <c r="D22" s="104"/>
      <c r="E22" s="105"/>
      <c r="F22" s="109"/>
      <c r="G22" s="109"/>
      <c r="H22" s="109"/>
      <c r="I22" s="109"/>
      <c r="J22" s="109"/>
      <c r="K22" s="109"/>
      <c r="L22" s="110"/>
      <c r="M22" s="110"/>
      <c r="N22" s="110"/>
      <c r="O22" s="110"/>
      <c r="P22" s="110"/>
      <c r="Q22" s="110"/>
      <c r="R22" s="110"/>
      <c r="S22" s="110"/>
      <c r="T22" s="110"/>
      <c r="U22" s="110"/>
      <c r="V22" s="111"/>
      <c r="W22" s="134"/>
    </row>
    <row r="23" spans="1:26" s="112" customFormat="1" ht="41.45" customHeight="1">
      <c r="A23" s="113" t="s">
        <v>33</v>
      </c>
      <c r="B23" s="104"/>
      <c r="C23" s="104"/>
      <c r="D23" s="105"/>
      <c r="E23" s="114"/>
      <c r="F23" s="115"/>
      <c r="G23" s="115"/>
      <c r="H23" s="115"/>
      <c r="I23" s="115"/>
      <c r="J23" s="115"/>
      <c r="K23" s="115"/>
      <c r="L23" s="110"/>
      <c r="M23" s="110"/>
      <c r="N23" s="110"/>
      <c r="O23" s="110"/>
      <c r="P23" s="110"/>
      <c r="Q23" s="110"/>
      <c r="R23" s="110"/>
      <c r="S23" s="110"/>
      <c r="T23" s="110"/>
      <c r="U23" s="110"/>
      <c r="V23" s="111"/>
      <c r="W23" s="134"/>
    </row>
    <row r="24" spans="1:26" s="112" customFormat="1" ht="41.45" customHeight="1">
      <c r="A24" s="113" t="s">
        <v>34</v>
      </c>
      <c r="B24" s="104"/>
      <c r="C24" s="104"/>
      <c r="D24" s="105"/>
      <c r="E24" s="114"/>
      <c r="F24" s="115"/>
      <c r="G24" s="116"/>
      <c r="I24" s="117"/>
      <c r="J24" s="117"/>
      <c r="K24" s="117"/>
      <c r="L24" s="117"/>
      <c r="M24" s="117"/>
      <c r="N24" s="117"/>
      <c r="O24" s="117"/>
      <c r="P24" s="117"/>
      <c r="Q24" s="117"/>
      <c r="R24" s="117"/>
      <c r="S24" s="117"/>
      <c r="T24" s="117"/>
      <c r="U24" s="117"/>
      <c r="V24" s="111"/>
      <c r="W24" s="134"/>
    </row>
    <row r="25" spans="1:26" s="112" customFormat="1" ht="41.45" customHeight="1">
      <c r="A25" s="108" t="s">
        <v>41</v>
      </c>
      <c r="B25" s="104"/>
      <c r="C25" s="104"/>
      <c r="D25" s="105"/>
      <c r="E25" s="114"/>
      <c r="F25" s="118"/>
      <c r="G25" s="119"/>
      <c r="I25" s="117"/>
      <c r="J25" s="117"/>
      <c r="K25" s="117"/>
      <c r="L25" s="117"/>
      <c r="M25" s="117"/>
      <c r="N25" s="117"/>
      <c r="O25" s="117"/>
      <c r="P25" s="117"/>
      <c r="Q25" s="117"/>
      <c r="R25" s="117"/>
      <c r="S25" s="117"/>
      <c r="T25" s="117"/>
      <c r="U25" s="117"/>
      <c r="V25" s="111"/>
      <c r="W25" s="134"/>
    </row>
    <row r="26" spans="1:26" s="112" customFormat="1" ht="41.45" customHeight="1">
      <c r="A26" s="113" t="s">
        <v>58</v>
      </c>
      <c r="B26" s="120"/>
      <c r="C26" s="120"/>
      <c r="D26" s="121"/>
      <c r="E26" s="117"/>
      <c r="F26" s="117"/>
      <c r="G26" s="114"/>
      <c r="H26" s="117"/>
      <c r="I26" s="117"/>
      <c r="J26" s="117"/>
      <c r="K26" s="117"/>
      <c r="L26" s="117"/>
      <c r="M26" s="117"/>
      <c r="N26" s="117"/>
      <c r="O26" s="117"/>
      <c r="P26" s="117"/>
      <c r="Q26" s="117"/>
      <c r="R26" s="117"/>
      <c r="S26" s="117"/>
      <c r="T26" s="117"/>
      <c r="U26" s="117"/>
      <c r="V26" s="111"/>
      <c r="W26" s="134"/>
    </row>
    <row r="27" spans="1:26" s="112" customFormat="1" ht="41.45" customHeight="1">
      <c r="A27" s="113" t="s">
        <v>59</v>
      </c>
      <c r="B27" s="120"/>
      <c r="C27" s="120"/>
      <c r="D27" s="121"/>
      <c r="E27" s="117"/>
      <c r="F27" s="117"/>
      <c r="G27" s="114"/>
      <c r="H27" s="117"/>
      <c r="I27" s="117"/>
      <c r="J27" s="117"/>
      <c r="K27" s="117"/>
      <c r="L27" s="117"/>
      <c r="M27" s="117"/>
      <c r="N27" s="117"/>
      <c r="O27" s="117"/>
      <c r="P27" s="117"/>
      <c r="Q27" s="117"/>
      <c r="R27" s="117"/>
      <c r="S27" s="117"/>
      <c r="T27" s="117"/>
      <c r="U27" s="117"/>
      <c r="V27" s="111"/>
      <c r="W27" s="134"/>
    </row>
    <row r="28" spans="1:26" s="30" customFormat="1" ht="11.7" customHeight="1">
      <c r="A28" s="25"/>
      <c r="B28" s="26"/>
      <c r="C28" s="26"/>
      <c r="D28" s="27"/>
      <c r="E28" s="28"/>
      <c r="F28" s="28"/>
      <c r="G28" s="29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134"/>
    </row>
    <row r="29" spans="1:26" s="112" customFormat="1" ht="41.45" customHeight="1">
      <c r="A29" s="179" t="s">
        <v>60</v>
      </c>
      <c r="B29" s="179"/>
      <c r="C29" s="179"/>
      <c r="D29" s="122"/>
      <c r="E29" s="122"/>
      <c r="F29" s="122"/>
      <c r="G29" s="122"/>
      <c r="H29" s="123"/>
      <c r="I29" s="180" t="s">
        <v>35</v>
      </c>
      <c r="J29" s="180"/>
      <c r="K29" s="180"/>
      <c r="L29" s="181">
        <f>B3</f>
        <v>0</v>
      </c>
      <c r="M29" s="181"/>
      <c r="N29" s="181"/>
      <c r="O29" s="181"/>
      <c r="P29" s="124"/>
      <c r="Q29" s="124"/>
      <c r="R29" s="124"/>
      <c r="S29" s="124"/>
      <c r="T29" s="124"/>
      <c r="U29" s="124"/>
      <c r="W29" s="134"/>
    </row>
    <row r="30" spans="1:26" s="125" customFormat="1" ht="41.45" customHeight="1">
      <c r="A30" s="179" t="s">
        <v>61</v>
      </c>
      <c r="B30" s="179"/>
      <c r="C30" s="179"/>
      <c r="D30" s="122"/>
      <c r="E30" s="122"/>
      <c r="F30" s="122"/>
      <c r="G30" s="122"/>
      <c r="H30" s="124"/>
      <c r="I30" s="176" t="s">
        <v>36</v>
      </c>
      <c r="J30" s="176"/>
      <c r="K30" s="176"/>
      <c r="L30" s="176"/>
      <c r="M30" s="176"/>
      <c r="N30" s="176"/>
      <c r="W30" s="140"/>
    </row>
    <row r="31" spans="1:26" s="125" customFormat="1" ht="41.45" customHeight="1">
      <c r="A31" s="175" t="s">
        <v>62</v>
      </c>
      <c r="B31" s="175"/>
      <c r="C31" s="175"/>
      <c r="D31" s="123"/>
      <c r="E31" s="123"/>
      <c r="F31" s="123"/>
      <c r="G31" s="123"/>
      <c r="H31" s="124"/>
      <c r="I31" s="176" t="s">
        <v>37</v>
      </c>
      <c r="J31" s="176"/>
      <c r="K31" s="176"/>
      <c r="L31" s="176"/>
      <c r="M31" s="176"/>
      <c r="N31" s="176"/>
      <c r="O31" s="124"/>
      <c r="P31" s="124"/>
      <c r="Q31" s="124"/>
      <c r="R31" s="124"/>
      <c r="S31" s="124"/>
      <c r="T31" s="124"/>
      <c r="U31" s="124"/>
      <c r="W31" s="140"/>
    </row>
    <row r="32" spans="1:26">
      <c r="G32" s="31"/>
    </row>
  </sheetData>
  <mergeCells count="24">
    <mergeCell ref="A31:C31"/>
    <mergeCell ref="I31:N31"/>
    <mergeCell ref="A17:B17"/>
    <mergeCell ref="A29:C29"/>
    <mergeCell ref="I29:K29"/>
    <mergeCell ref="L29:O29"/>
    <mergeCell ref="A30:C30"/>
    <mergeCell ref="I30:N30"/>
    <mergeCell ref="A9:A10"/>
    <mergeCell ref="E9:E10"/>
    <mergeCell ref="G9:G16"/>
    <mergeCell ref="A11:A16"/>
    <mergeCell ref="D11:D16"/>
    <mergeCell ref="E11:E16"/>
    <mergeCell ref="A1:V1"/>
    <mergeCell ref="H4:U4"/>
    <mergeCell ref="A7:A8"/>
    <mergeCell ref="B7:B8"/>
    <mergeCell ref="C7:C8"/>
    <mergeCell ref="D7:D8"/>
    <mergeCell ref="E7:E8"/>
    <mergeCell ref="F7:F8"/>
    <mergeCell ref="G7:G8"/>
    <mergeCell ref="V7:V8"/>
  </mergeCells>
  <phoneticPr fontId="4" type="noConversion"/>
  <conditionalFormatting sqref="H8:U8">
    <cfRule type="containsText" dxfId="7" priority="1" operator="containsText" text="日">
      <formula>NOT(ISERROR(SEARCH("日",H8)))</formula>
    </cfRule>
    <cfRule type="containsText" dxfId="6" priority="2" operator="containsText" text="六">
      <formula>NOT(ISERROR(SEARCH("六",H8)))</formula>
    </cfRule>
  </conditionalFormatting>
  <printOptions horizontalCentered="1" verticalCentered="1"/>
  <pageMargins left="0.19685039370078741" right="0.11811023622047245" top="0.19685039370078741" bottom="3.937007874015748E-2" header="0" footer="7.874015748031496E-2"/>
  <pageSetup paperSize="8" scale="32" orientation="landscape" r:id="rId1"/>
  <headerFooter alignWithMargins="0">
    <oddFooter>&amp;L&amp;F  &amp;A&amp;R&amp;D  &amp;T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B40F93-63A7-4F37-8907-BF21DF7D2D33}">
  <sheetPr>
    <tabColor rgb="FFFFFF00"/>
    <pageSetUpPr fitToPage="1"/>
  </sheetPr>
  <dimension ref="A1:AB32"/>
  <sheetViews>
    <sheetView showGridLines="0" view="pageBreakPreview" topLeftCell="A3" zoomScale="35" zoomScaleNormal="60" zoomScaleSheetLayoutView="35" zoomScalePageLayoutView="75" workbookViewId="0">
      <selection activeCell="B11" sqref="B11:C16"/>
    </sheetView>
  </sheetViews>
  <sheetFormatPr defaultColWidth="10.3515625" defaultRowHeight="27.7"/>
  <cols>
    <col min="1" max="1" width="31.234375" style="31" customWidth="1"/>
    <col min="2" max="2" width="43.9375" style="31" customWidth="1"/>
    <col min="3" max="3" width="20.87890625" style="31" customWidth="1"/>
    <col min="4" max="4" width="27.8203125" style="31" customWidth="1"/>
    <col min="5" max="5" width="19.29296875" style="31" customWidth="1"/>
    <col min="6" max="6" width="25.87890625" style="31" customWidth="1"/>
    <col min="7" max="7" width="30.46875" style="32" customWidth="1"/>
    <col min="8" max="21" width="16.41015625" style="31" customWidth="1"/>
    <col min="22" max="22" width="14" style="31" customWidth="1"/>
    <col min="23" max="23" width="20" style="140" customWidth="1"/>
    <col min="24" max="24" width="10.87890625" style="31" hidden="1" customWidth="1"/>
    <col min="25" max="26" width="26.76171875" style="31" hidden="1" customWidth="1"/>
    <col min="27" max="29" width="0" style="31" hidden="1" customWidth="1"/>
    <col min="30" max="16384" width="10.3515625" style="31"/>
  </cols>
  <sheetData>
    <row r="1" spans="1:28" s="1" customFormat="1" ht="107.1" customHeight="1">
      <c r="A1" s="143" t="s">
        <v>0</v>
      </c>
      <c r="B1" s="143"/>
      <c r="C1" s="143"/>
      <c r="D1" s="143"/>
      <c r="E1" s="143"/>
      <c r="F1" s="143"/>
      <c r="G1" s="143"/>
      <c r="H1" s="143"/>
      <c r="I1" s="143"/>
      <c r="J1" s="143"/>
      <c r="K1" s="143"/>
      <c r="L1" s="143"/>
      <c r="M1" s="143"/>
      <c r="N1" s="143"/>
      <c r="O1" s="143"/>
      <c r="P1" s="143"/>
      <c r="Q1" s="143"/>
      <c r="R1" s="143"/>
      <c r="S1" s="143"/>
      <c r="T1" s="143"/>
      <c r="U1" s="143"/>
      <c r="V1" s="143"/>
      <c r="W1" s="134"/>
    </row>
    <row r="2" spans="1:28" s="1" customFormat="1" ht="47.35" customHeight="1" thickBot="1">
      <c r="A2" s="2"/>
      <c r="B2" s="3"/>
      <c r="C2" s="4"/>
      <c r="D2" s="5"/>
      <c r="E2" s="6"/>
      <c r="F2" s="2"/>
      <c r="G2" s="6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8"/>
      <c r="W2" s="134"/>
    </row>
    <row r="3" spans="1:28" s="127" customFormat="1" ht="49.45" customHeight="1">
      <c r="A3" s="38" t="s">
        <v>1</v>
      </c>
      <c r="B3" s="126"/>
      <c r="F3" s="39"/>
      <c r="G3" s="40"/>
      <c r="H3" s="41"/>
      <c r="I3" s="41"/>
      <c r="J3" s="41"/>
      <c r="K3" s="41"/>
      <c r="L3" s="41"/>
      <c r="M3" s="41"/>
      <c r="N3" s="41"/>
      <c r="O3" s="41"/>
      <c r="P3" s="41"/>
      <c r="Q3" s="41"/>
      <c r="R3" s="41"/>
      <c r="S3" s="41"/>
      <c r="T3" s="41"/>
      <c r="U3" s="41"/>
      <c r="V3" s="42"/>
      <c r="W3" s="135"/>
    </row>
    <row r="4" spans="1:28" s="127" customFormat="1" ht="49.45" customHeight="1">
      <c r="A4" s="38" t="s">
        <v>2</v>
      </c>
      <c r="B4" s="126" t="s">
        <v>54</v>
      </c>
      <c r="F4" s="39"/>
      <c r="G4" s="40"/>
      <c r="H4" s="144"/>
      <c r="I4" s="144"/>
      <c r="J4" s="144"/>
      <c r="K4" s="144"/>
      <c r="L4" s="144"/>
      <c r="M4" s="144"/>
      <c r="N4" s="144"/>
      <c r="O4" s="144"/>
      <c r="P4" s="144"/>
      <c r="Q4" s="144"/>
      <c r="R4" s="144"/>
      <c r="S4" s="144"/>
      <c r="T4" s="144"/>
      <c r="U4" s="144"/>
      <c r="V4" s="41"/>
      <c r="W4" s="135"/>
      <c r="AA4" s="130"/>
    </row>
    <row r="5" spans="1:28" s="128" customFormat="1" ht="49.45" customHeight="1">
      <c r="A5" s="43" t="s">
        <v>3</v>
      </c>
      <c r="B5" s="43" t="s">
        <v>55</v>
      </c>
      <c r="C5" s="44"/>
      <c r="D5" s="45"/>
      <c r="E5" s="45"/>
      <c r="G5" s="46"/>
      <c r="H5" s="47"/>
      <c r="I5" s="47"/>
      <c r="J5" s="47"/>
      <c r="K5" s="47"/>
      <c r="L5" s="47"/>
      <c r="M5" s="47"/>
      <c r="N5" s="47"/>
      <c r="O5" s="47"/>
      <c r="P5" s="47"/>
      <c r="Q5" s="47"/>
      <c r="R5" s="47"/>
      <c r="S5" s="47"/>
      <c r="T5" s="47"/>
      <c r="U5" s="47"/>
      <c r="V5" s="45"/>
      <c r="W5" s="134"/>
      <c r="AA5" s="131"/>
    </row>
    <row r="6" spans="1:28" s="128" customFormat="1" ht="49.45" customHeight="1" thickBot="1">
      <c r="A6" s="43" t="s">
        <v>4</v>
      </c>
      <c r="B6" s="43" t="s">
        <v>46</v>
      </c>
      <c r="C6" s="44"/>
      <c r="D6" s="45"/>
      <c r="E6" s="45"/>
      <c r="G6" s="48"/>
      <c r="H6" s="51" t="s">
        <v>56</v>
      </c>
      <c r="I6" s="50"/>
      <c r="J6" s="50"/>
      <c r="K6" s="49"/>
      <c r="L6" s="50"/>
      <c r="M6" s="50"/>
      <c r="N6" s="50"/>
      <c r="O6" s="50"/>
      <c r="P6" s="50"/>
      <c r="Q6" s="50"/>
      <c r="R6" s="50"/>
      <c r="S6" s="50"/>
      <c r="T6" s="50"/>
      <c r="U6" s="50"/>
      <c r="V6" s="45"/>
      <c r="W6" s="141">
        <v>1</v>
      </c>
      <c r="AA6" s="131"/>
    </row>
    <row r="7" spans="1:28" s="9" customFormat="1" ht="47" customHeight="1" thickBot="1">
      <c r="A7" s="145" t="s">
        <v>5</v>
      </c>
      <c r="B7" s="147" t="s">
        <v>6</v>
      </c>
      <c r="C7" s="149" t="s">
        <v>7</v>
      </c>
      <c r="D7" s="147" t="s">
        <v>8</v>
      </c>
      <c r="E7" s="147" t="s">
        <v>9</v>
      </c>
      <c r="F7" s="151" t="s">
        <v>10</v>
      </c>
      <c r="G7" s="153" t="s">
        <v>11</v>
      </c>
      <c r="H7" s="52">
        <v>21</v>
      </c>
      <c r="I7" s="52">
        <f t="shared" ref="I7:O7" si="0">H7+1</f>
        <v>22</v>
      </c>
      <c r="J7" s="52">
        <f t="shared" si="0"/>
        <v>23</v>
      </c>
      <c r="K7" s="52">
        <f t="shared" si="0"/>
        <v>24</v>
      </c>
      <c r="L7" s="52">
        <f t="shared" si="0"/>
        <v>25</v>
      </c>
      <c r="M7" s="52">
        <f t="shared" si="0"/>
        <v>26</v>
      </c>
      <c r="N7" s="52">
        <f t="shared" si="0"/>
        <v>27</v>
      </c>
      <c r="O7" s="52">
        <f t="shared" si="0"/>
        <v>28</v>
      </c>
      <c r="P7" s="52">
        <f>O7+1</f>
        <v>29</v>
      </c>
      <c r="Q7" s="52">
        <v>30</v>
      </c>
      <c r="R7" s="52">
        <v>1</v>
      </c>
      <c r="S7" s="52">
        <v>2</v>
      </c>
      <c r="T7" s="52">
        <v>3</v>
      </c>
      <c r="U7" s="52">
        <v>4</v>
      </c>
      <c r="V7" s="155" t="s">
        <v>12</v>
      </c>
      <c r="W7" s="142">
        <v>0.85</v>
      </c>
      <c r="AA7" s="132"/>
    </row>
    <row r="8" spans="1:28" s="9" customFormat="1" ht="47" customHeight="1" thickBot="1">
      <c r="A8" s="146"/>
      <c r="B8" s="148"/>
      <c r="C8" s="150"/>
      <c r="D8" s="148"/>
      <c r="E8" s="148"/>
      <c r="F8" s="152"/>
      <c r="G8" s="154"/>
      <c r="H8" s="53" t="s">
        <v>13</v>
      </c>
      <c r="I8" s="53" t="s">
        <v>14</v>
      </c>
      <c r="J8" s="53" t="s">
        <v>15</v>
      </c>
      <c r="K8" s="53" t="s">
        <v>16</v>
      </c>
      <c r="L8" s="53" t="s">
        <v>17</v>
      </c>
      <c r="M8" s="53" t="s">
        <v>18</v>
      </c>
      <c r="N8" s="53" t="s">
        <v>19</v>
      </c>
      <c r="O8" s="53" t="s">
        <v>13</v>
      </c>
      <c r="P8" s="53" t="s">
        <v>14</v>
      </c>
      <c r="Q8" s="53" t="s">
        <v>15</v>
      </c>
      <c r="R8" s="53" t="s">
        <v>16</v>
      </c>
      <c r="S8" s="53" t="s">
        <v>17</v>
      </c>
      <c r="T8" s="53" t="s">
        <v>18</v>
      </c>
      <c r="U8" s="53" t="s">
        <v>19</v>
      </c>
      <c r="V8" s="156"/>
      <c r="W8" s="136" t="s">
        <v>53</v>
      </c>
      <c r="X8" s="9" t="s">
        <v>20</v>
      </c>
      <c r="Y8" s="10" t="s">
        <v>21</v>
      </c>
      <c r="Z8" s="11" t="s">
        <v>22</v>
      </c>
      <c r="AA8" s="131"/>
      <c r="AB8" s="12"/>
    </row>
    <row r="9" spans="1:28" s="13" customFormat="1" ht="54" customHeight="1">
      <c r="A9" s="157" t="s">
        <v>47</v>
      </c>
      <c r="B9" s="54" t="s">
        <v>48</v>
      </c>
      <c r="C9" s="55" t="s">
        <v>50</v>
      </c>
      <c r="D9" s="129" t="s">
        <v>38</v>
      </c>
      <c r="E9" s="159" t="s">
        <v>52</v>
      </c>
      <c r="F9" s="56">
        <f>300000/420*V9*W6</f>
        <v>85000</v>
      </c>
      <c r="G9" s="161">
        <v>200000</v>
      </c>
      <c r="H9" s="57">
        <v>9</v>
      </c>
      <c r="I9" s="58">
        <f t="shared" ref="I9:U10" si="1">H9</f>
        <v>9</v>
      </c>
      <c r="J9" s="58">
        <f>I9</f>
        <v>9</v>
      </c>
      <c r="K9" s="58">
        <f t="shared" si="1"/>
        <v>9</v>
      </c>
      <c r="L9" s="58">
        <f>K9</f>
        <v>9</v>
      </c>
      <c r="M9" s="58">
        <f t="shared" si="1"/>
        <v>9</v>
      </c>
      <c r="N9" s="58">
        <f>M9</f>
        <v>9</v>
      </c>
      <c r="O9" s="58">
        <v>8</v>
      </c>
      <c r="P9" s="58">
        <f>O9</f>
        <v>8</v>
      </c>
      <c r="Q9" s="58">
        <f>P9</f>
        <v>8</v>
      </c>
      <c r="R9" s="58">
        <f>Q9</f>
        <v>8</v>
      </c>
      <c r="S9" s="58">
        <f>P9</f>
        <v>8</v>
      </c>
      <c r="T9" s="58">
        <f t="shared" si="1"/>
        <v>8</v>
      </c>
      <c r="U9" s="58">
        <f t="shared" si="1"/>
        <v>8</v>
      </c>
      <c r="V9" s="59">
        <f t="shared" ref="V9:V16" si="2">SUM(H9:U9)</f>
        <v>119</v>
      </c>
      <c r="W9" s="137">
        <f>250000/420*V9</f>
        <v>70833.333333333328</v>
      </c>
      <c r="X9" s="14" t="s">
        <v>23</v>
      </c>
      <c r="Y9" s="15" t="e">
        <f>C9*V9</f>
        <v>#VALUE!</v>
      </c>
      <c r="Z9" s="15" t="e">
        <f>C9*1000/24/6*V9</f>
        <v>#VALUE!</v>
      </c>
      <c r="AA9" s="12"/>
      <c r="AB9" s="12"/>
    </row>
    <row r="10" spans="1:28" s="13" customFormat="1" ht="54" customHeight="1" thickBot="1">
      <c r="A10" s="158"/>
      <c r="B10" s="60" t="s">
        <v>49</v>
      </c>
      <c r="C10" s="61" t="s">
        <v>51</v>
      </c>
      <c r="D10" s="133" t="s">
        <v>39</v>
      </c>
      <c r="E10" s="160"/>
      <c r="F10" s="62" t="s">
        <v>40</v>
      </c>
      <c r="G10" s="162"/>
      <c r="H10" s="63">
        <v>15</v>
      </c>
      <c r="I10" s="64">
        <f>H10</f>
        <v>15</v>
      </c>
      <c r="J10" s="64">
        <f t="shared" si="1"/>
        <v>15</v>
      </c>
      <c r="K10" s="64">
        <f t="shared" si="1"/>
        <v>15</v>
      </c>
      <c r="L10" s="64">
        <f t="shared" ref="L10" si="3">K10</f>
        <v>15</v>
      </c>
      <c r="M10" s="64">
        <f t="shared" si="1"/>
        <v>15</v>
      </c>
      <c r="N10" s="64">
        <v>15</v>
      </c>
      <c r="O10" s="64">
        <f t="shared" si="1"/>
        <v>15</v>
      </c>
      <c r="P10" s="64">
        <v>14</v>
      </c>
      <c r="Q10" s="64">
        <f>P10</f>
        <v>14</v>
      </c>
      <c r="R10" s="64">
        <f>Q10</f>
        <v>14</v>
      </c>
      <c r="S10" s="64">
        <f t="shared" ref="S10" si="4">P10</f>
        <v>14</v>
      </c>
      <c r="T10" s="64">
        <f t="shared" si="1"/>
        <v>14</v>
      </c>
      <c r="U10" s="64">
        <f>T10</f>
        <v>14</v>
      </c>
      <c r="V10" s="65">
        <f t="shared" si="2"/>
        <v>204</v>
      </c>
      <c r="W10" s="137"/>
      <c r="X10" s="16" t="s">
        <v>24</v>
      </c>
      <c r="Y10" s="15" t="e">
        <f>C10*V10</f>
        <v>#VALUE!</v>
      </c>
      <c r="Z10" s="15" t="e">
        <f>C10*1000/24/6*V10</f>
        <v>#VALUE!</v>
      </c>
      <c r="AA10" s="12"/>
      <c r="AB10" s="12"/>
    </row>
    <row r="11" spans="1:28" s="13" customFormat="1" ht="54" customHeight="1" thickBot="1">
      <c r="A11" s="164" t="s">
        <v>25</v>
      </c>
      <c r="B11" s="66" t="s">
        <v>67</v>
      </c>
      <c r="C11" s="67">
        <v>1673</v>
      </c>
      <c r="D11" s="182" t="s">
        <v>66</v>
      </c>
      <c r="E11" s="172" t="s">
        <v>52</v>
      </c>
      <c r="F11" s="68">
        <f>250000/480*V11*W7</f>
        <v>99166.666666666672</v>
      </c>
      <c r="G11" s="162"/>
      <c r="H11" s="69">
        <v>16</v>
      </c>
      <c r="I11" s="70">
        <f>H11</f>
        <v>16</v>
      </c>
      <c r="J11" s="70">
        <f t="shared" ref="J11:U11" si="5">I11</f>
        <v>16</v>
      </c>
      <c r="K11" s="70">
        <f t="shared" si="5"/>
        <v>16</v>
      </c>
      <c r="L11" s="70">
        <f t="shared" si="5"/>
        <v>16</v>
      </c>
      <c r="M11" s="70">
        <f t="shared" si="5"/>
        <v>16</v>
      </c>
      <c r="N11" s="70">
        <f t="shared" si="5"/>
        <v>16</v>
      </c>
      <c r="O11" s="70">
        <f t="shared" si="5"/>
        <v>16</v>
      </c>
      <c r="P11" s="70">
        <f>O11</f>
        <v>16</v>
      </c>
      <c r="Q11" s="70">
        <f>P11</f>
        <v>16</v>
      </c>
      <c r="R11" s="70">
        <f>Q11</f>
        <v>16</v>
      </c>
      <c r="S11" s="70">
        <f>R11</f>
        <v>16</v>
      </c>
      <c r="T11" s="70">
        <f t="shared" si="5"/>
        <v>16</v>
      </c>
      <c r="U11" s="70">
        <f t="shared" si="5"/>
        <v>16</v>
      </c>
      <c r="V11" s="71">
        <f t="shared" si="2"/>
        <v>224</v>
      </c>
      <c r="W11" s="137">
        <f>320000/480*0.85*V11</f>
        <v>126933.33333333333</v>
      </c>
      <c r="X11" s="33" t="s">
        <v>26</v>
      </c>
      <c r="Y11" s="34">
        <f t="shared" ref="Y11:Y16" si="6">V11*C11</f>
        <v>374752</v>
      </c>
      <c r="Z11" s="35">
        <f t="shared" ref="Z11:Z16" si="7">1000*(C11/24/6)*V11</f>
        <v>2602444.444444444</v>
      </c>
    </row>
    <row r="12" spans="1:28" s="13" customFormat="1" ht="54" customHeight="1" thickBot="1">
      <c r="A12" s="165"/>
      <c r="B12" s="60" t="s">
        <v>27</v>
      </c>
      <c r="C12" s="72">
        <v>788</v>
      </c>
      <c r="D12" s="169"/>
      <c r="E12" s="160"/>
      <c r="F12" s="62">
        <f>150000/480*V12*W7</f>
        <v>59500</v>
      </c>
      <c r="G12" s="162"/>
      <c r="H12" s="63">
        <f>H11</f>
        <v>16</v>
      </c>
      <c r="I12" s="64">
        <f>I11</f>
        <v>16</v>
      </c>
      <c r="J12" s="64">
        <f t="shared" ref="J12:U12" si="8">J11</f>
        <v>16</v>
      </c>
      <c r="K12" s="64">
        <f t="shared" si="8"/>
        <v>16</v>
      </c>
      <c r="L12" s="64">
        <f t="shared" si="8"/>
        <v>16</v>
      </c>
      <c r="M12" s="64">
        <f t="shared" si="8"/>
        <v>16</v>
      </c>
      <c r="N12" s="64">
        <f t="shared" si="8"/>
        <v>16</v>
      </c>
      <c r="O12" s="64">
        <f t="shared" si="8"/>
        <v>16</v>
      </c>
      <c r="P12" s="64">
        <f t="shared" si="8"/>
        <v>16</v>
      </c>
      <c r="Q12" s="64">
        <f>Q11</f>
        <v>16</v>
      </c>
      <c r="R12" s="64">
        <f>R11</f>
        <v>16</v>
      </c>
      <c r="S12" s="64">
        <f t="shared" si="8"/>
        <v>16</v>
      </c>
      <c r="T12" s="64">
        <f t="shared" si="8"/>
        <v>16</v>
      </c>
      <c r="U12" s="64">
        <f t="shared" si="8"/>
        <v>16</v>
      </c>
      <c r="V12" s="65">
        <f t="shared" si="2"/>
        <v>224</v>
      </c>
      <c r="W12" s="137"/>
      <c r="X12" s="33" t="s">
        <v>26</v>
      </c>
      <c r="Y12" s="34">
        <f t="shared" si="6"/>
        <v>176512</v>
      </c>
      <c r="Z12" s="35">
        <f t="shared" si="7"/>
        <v>1225777.777777778</v>
      </c>
    </row>
    <row r="13" spans="1:28" s="13" customFormat="1" ht="54" customHeight="1" thickBot="1">
      <c r="A13" s="165"/>
      <c r="B13" s="60" t="s">
        <v>42</v>
      </c>
      <c r="C13" s="72">
        <v>850</v>
      </c>
      <c r="D13" s="169"/>
      <c r="E13" s="160"/>
      <c r="F13" s="62">
        <f>150000/480*V13*W7</f>
        <v>59500</v>
      </c>
      <c r="G13" s="162"/>
      <c r="H13" s="63">
        <f>H11</f>
        <v>16</v>
      </c>
      <c r="I13" s="64">
        <f>I11</f>
        <v>16</v>
      </c>
      <c r="J13" s="64">
        <f t="shared" ref="J13:U13" si="9">J11</f>
        <v>16</v>
      </c>
      <c r="K13" s="64">
        <f t="shared" si="9"/>
        <v>16</v>
      </c>
      <c r="L13" s="64">
        <f t="shared" si="9"/>
        <v>16</v>
      </c>
      <c r="M13" s="64">
        <f t="shared" si="9"/>
        <v>16</v>
      </c>
      <c r="N13" s="64">
        <f t="shared" si="9"/>
        <v>16</v>
      </c>
      <c r="O13" s="64">
        <f t="shared" si="9"/>
        <v>16</v>
      </c>
      <c r="P13" s="64">
        <f t="shared" si="9"/>
        <v>16</v>
      </c>
      <c r="Q13" s="64">
        <f>Q11</f>
        <v>16</v>
      </c>
      <c r="R13" s="64">
        <f>R11</f>
        <v>16</v>
      </c>
      <c r="S13" s="64">
        <f t="shared" si="9"/>
        <v>16</v>
      </c>
      <c r="T13" s="64">
        <f t="shared" si="9"/>
        <v>16</v>
      </c>
      <c r="U13" s="64">
        <f t="shared" si="9"/>
        <v>16</v>
      </c>
      <c r="V13" s="65">
        <f t="shared" si="2"/>
        <v>224</v>
      </c>
      <c r="W13" s="137"/>
      <c r="X13" s="33" t="s">
        <v>26</v>
      </c>
      <c r="Y13" s="34">
        <f t="shared" si="6"/>
        <v>190400</v>
      </c>
      <c r="Z13" s="35">
        <f t="shared" si="7"/>
        <v>1322222.222222222</v>
      </c>
    </row>
    <row r="14" spans="1:28" s="13" customFormat="1" ht="54" customHeight="1" thickBot="1">
      <c r="A14" s="166"/>
      <c r="B14" s="60" t="s">
        <v>44</v>
      </c>
      <c r="C14" s="72">
        <v>501</v>
      </c>
      <c r="D14" s="170"/>
      <c r="E14" s="173"/>
      <c r="F14" s="62">
        <f>100000/480*V14*W7</f>
        <v>39666.666666666672</v>
      </c>
      <c r="G14" s="162"/>
      <c r="H14" s="63">
        <f t="shared" ref="H14:U14" si="10">H11</f>
        <v>16</v>
      </c>
      <c r="I14" s="64">
        <f t="shared" si="10"/>
        <v>16</v>
      </c>
      <c r="J14" s="64">
        <f t="shared" si="10"/>
        <v>16</v>
      </c>
      <c r="K14" s="64">
        <f t="shared" si="10"/>
        <v>16</v>
      </c>
      <c r="L14" s="64">
        <f t="shared" si="10"/>
        <v>16</v>
      </c>
      <c r="M14" s="64">
        <f t="shared" si="10"/>
        <v>16</v>
      </c>
      <c r="N14" s="64">
        <f t="shared" si="10"/>
        <v>16</v>
      </c>
      <c r="O14" s="64">
        <f t="shared" si="10"/>
        <v>16</v>
      </c>
      <c r="P14" s="64">
        <f t="shared" si="10"/>
        <v>16</v>
      </c>
      <c r="Q14" s="64">
        <f>Q11</f>
        <v>16</v>
      </c>
      <c r="R14" s="64">
        <f>R11</f>
        <v>16</v>
      </c>
      <c r="S14" s="64">
        <f t="shared" si="10"/>
        <v>16</v>
      </c>
      <c r="T14" s="64">
        <f t="shared" si="10"/>
        <v>16</v>
      </c>
      <c r="U14" s="64">
        <f t="shared" si="10"/>
        <v>16</v>
      </c>
      <c r="V14" s="65">
        <f t="shared" si="2"/>
        <v>224</v>
      </c>
      <c r="W14" s="137"/>
      <c r="X14" s="33" t="s">
        <v>26</v>
      </c>
      <c r="Y14" s="34">
        <f t="shared" si="6"/>
        <v>112224</v>
      </c>
      <c r="Z14" s="35">
        <f t="shared" si="7"/>
        <v>779333.33333333326</v>
      </c>
    </row>
    <row r="15" spans="1:28" s="13" customFormat="1" ht="54" customHeight="1" thickBot="1">
      <c r="A15" s="166"/>
      <c r="B15" s="60" t="s">
        <v>43</v>
      </c>
      <c r="C15" s="72">
        <v>503</v>
      </c>
      <c r="D15" s="170"/>
      <c r="E15" s="173"/>
      <c r="F15" s="62">
        <f>100000/480*V15*W7</f>
        <v>39666.666666666672</v>
      </c>
      <c r="G15" s="162"/>
      <c r="H15" s="63">
        <f t="shared" ref="H15:U15" si="11">H12</f>
        <v>16</v>
      </c>
      <c r="I15" s="64">
        <f t="shared" si="11"/>
        <v>16</v>
      </c>
      <c r="J15" s="64">
        <f t="shared" si="11"/>
        <v>16</v>
      </c>
      <c r="K15" s="64">
        <f t="shared" si="11"/>
        <v>16</v>
      </c>
      <c r="L15" s="64">
        <f t="shared" si="11"/>
        <v>16</v>
      </c>
      <c r="M15" s="64">
        <f t="shared" si="11"/>
        <v>16</v>
      </c>
      <c r="N15" s="64">
        <f t="shared" si="11"/>
        <v>16</v>
      </c>
      <c r="O15" s="64">
        <f t="shared" si="11"/>
        <v>16</v>
      </c>
      <c r="P15" s="64">
        <f t="shared" si="11"/>
        <v>16</v>
      </c>
      <c r="Q15" s="64">
        <f>Q11</f>
        <v>16</v>
      </c>
      <c r="R15" s="64">
        <f>R11</f>
        <v>16</v>
      </c>
      <c r="S15" s="64">
        <f t="shared" si="11"/>
        <v>16</v>
      </c>
      <c r="T15" s="64">
        <f t="shared" si="11"/>
        <v>16</v>
      </c>
      <c r="U15" s="64">
        <f t="shared" si="11"/>
        <v>16</v>
      </c>
      <c r="V15" s="65">
        <f t="shared" si="2"/>
        <v>224</v>
      </c>
      <c r="W15" s="137"/>
      <c r="X15" s="33" t="s">
        <v>26</v>
      </c>
      <c r="Y15" s="34">
        <f t="shared" si="6"/>
        <v>112672</v>
      </c>
      <c r="Z15" s="35">
        <f t="shared" si="7"/>
        <v>782444.44444444438</v>
      </c>
    </row>
    <row r="16" spans="1:28" s="36" customFormat="1" ht="54" customHeight="1" thickBot="1">
      <c r="A16" s="167"/>
      <c r="B16" s="73" t="s">
        <v>45</v>
      </c>
      <c r="C16" s="74">
        <v>182</v>
      </c>
      <c r="D16" s="171"/>
      <c r="E16" s="174"/>
      <c r="F16" s="75">
        <f>62500/480*V16*W7</f>
        <v>24791.666666666668</v>
      </c>
      <c r="G16" s="163"/>
      <c r="H16" s="76">
        <f>H11</f>
        <v>16</v>
      </c>
      <c r="I16" s="77">
        <f>I11</f>
        <v>16</v>
      </c>
      <c r="J16" s="77">
        <f t="shared" ref="J16:U16" si="12">J11</f>
        <v>16</v>
      </c>
      <c r="K16" s="77">
        <f t="shared" si="12"/>
        <v>16</v>
      </c>
      <c r="L16" s="77">
        <f t="shared" si="12"/>
        <v>16</v>
      </c>
      <c r="M16" s="77">
        <f t="shared" si="12"/>
        <v>16</v>
      </c>
      <c r="N16" s="77">
        <f t="shared" si="12"/>
        <v>16</v>
      </c>
      <c r="O16" s="77">
        <f t="shared" si="12"/>
        <v>16</v>
      </c>
      <c r="P16" s="77">
        <f t="shared" si="12"/>
        <v>16</v>
      </c>
      <c r="Q16" s="77">
        <f>Q11</f>
        <v>16</v>
      </c>
      <c r="R16" s="77">
        <f>R11</f>
        <v>16</v>
      </c>
      <c r="S16" s="77">
        <f t="shared" si="12"/>
        <v>16</v>
      </c>
      <c r="T16" s="77">
        <f t="shared" si="12"/>
        <v>16</v>
      </c>
      <c r="U16" s="77">
        <f t="shared" si="12"/>
        <v>16</v>
      </c>
      <c r="V16" s="78">
        <f t="shared" si="2"/>
        <v>224</v>
      </c>
      <c r="W16" s="137"/>
      <c r="X16" s="33" t="s">
        <v>26</v>
      </c>
      <c r="Y16" s="34">
        <f t="shared" si="6"/>
        <v>40768</v>
      </c>
      <c r="Z16" s="35">
        <f t="shared" si="7"/>
        <v>283111.11111111112</v>
      </c>
      <c r="AA16" s="37"/>
      <c r="AB16" s="37"/>
    </row>
    <row r="17" spans="1:26" s="17" customFormat="1" ht="52" customHeight="1" thickBot="1">
      <c r="A17" s="177"/>
      <c r="B17" s="178"/>
      <c r="C17" s="79"/>
      <c r="D17" s="80"/>
      <c r="E17" s="81" t="s">
        <v>28</v>
      </c>
      <c r="F17" s="82">
        <f>SUM(F9:F16)</f>
        <v>407291.66666666674</v>
      </c>
      <c r="G17" s="83">
        <f>SUM(G9:G13)</f>
        <v>200000</v>
      </c>
      <c r="H17" s="84">
        <f t="shared" ref="H17:U17" si="13">SUM(H9:H16)</f>
        <v>120</v>
      </c>
      <c r="I17" s="84">
        <f t="shared" si="13"/>
        <v>120</v>
      </c>
      <c r="J17" s="84">
        <f t="shared" si="13"/>
        <v>120</v>
      </c>
      <c r="K17" s="84">
        <f t="shared" si="13"/>
        <v>120</v>
      </c>
      <c r="L17" s="84">
        <f t="shared" si="13"/>
        <v>120</v>
      </c>
      <c r="M17" s="84">
        <f t="shared" si="13"/>
        <v>120</v>
      </c>
      <c r="N17" s="84">
        <f t="shared" si="13"/>
        <v>120</v>
      </c>
      <c r="O17" s="84">
        <f t="shared" si="13"/>
        <v>119</v>
      </c>
      <c r="P17" s="84">
        <f t="shared" si="13"/>
        <v>118</v>
      </c>
      <c r="Q17" s="84">
        <f t="shared" si="13"/>
        <v>118</v>
      </c>
      <c r="R17" s="84">
        <f t="shared" si="13"/>
        <v>118</v>
      </c>
      <c r="S17" s="84">
        <f t="shared" si="13"/>
        <v>118</v>
      </c>
      <c r="T17" s="84">
        <f t="shared" si="13"/>
        <v>118</v>
      </c>
      <c r="U17" s="84">
        <f t="shared" si="13"/>
        <v>118</v>
      </c>
      <c r="V17" s="85">
        <f>SUM(V7:V16)</f>
        <v>1667</v>
      </c>
      <c r="W17" s="138">
        <f>SUM(W9:W16)</f>
        <v>197766.66666666666</v>
      </c>
      <c r="Y17" s="18"/>
      <c r="Z17" s="18"/>
    </row>
    <row r="18" spans="1:26" s="20" customFormat="1" ht="43.7" customHeight="1">
      <c r="A18" s="19"/>
      <c r="B18" s="86"/>
      <c r="C18" s="86"/>
      <c r="D18" s="86"/>
      <c r="E18" s="87"/>
      <c r="F18" s="88" t="s">
        <v>29</v>
      </c>
      <c r="G18" s="89">
        <v>0</v>
      </c>
      <c r="H18" s="90"/>
      <c r="I18" s="90"/>
      <c r="J18" s="90"/>
      <c r="K18" s="90"/>
      <c r="L18" s="90"/>
      <c r="M18" s="90"/>
      <c r="N18" s="90"/>
      <c r="O18" s="90"/>
      <c r="P18" s="90"/>
      <c r="Q18" s="90"/>
      <c r="R18" s="90"/>
      <c r="S18" s="90"/>
      <c r="T18" s="90"/>
      <c r="U18" s="90"/>
      <c r="V18" s="91"/>
      <c r="W18" s="139"/>
      <c r="Y18" s="21"/>
      <c r="Z18" s="21"/>
    </row>
    <row r="19" spans="1:26" s="20" customFormat="1" ht="43.7" customHeight="1">
      <c r="A19" s="22"/>
      <c r="B19" s="92"/>
      <c r="C19" s="92"/>
      <c r="D19" s="92"/>
      <c r="E19" s="93"/>
      <c r="F19" s="94" t="s">
        <v>30</v>
      </c>
      <c r="G19" s="95">
        <f>SUM(G17:G18)*5%</f>
        <v>10000</v>
      </c>
      <c r="H19" s="90"/>
      <c r="I19" s="90"/>
      <c r="J19" s="90"/>
      <c r="K19" s="90"/>
      <c r="L19" s="90"/>
      <c r="M19" s="90"/>
      <c r="N19" s="90"/>
      <c r="O19" s="90"/>
      <c r="P19" s="90"/>
      <c r="Q19" s="90"/>
      <c r="R19" s="90"/>
      <c r="S19" s="90"/>
      <c r="T19" s="90"/>
      <c r="U19" s="90"/>
      <c r="V19" s="91"/>
      <c r="W19" s="139"/>
      <c r="Y19" s="18"/>
      <c r="Z19" s="18"/>
    </row>
    <row r="20" spans="1:26" s="23" customFormat="1" ht="43.7" customHeight="1" thickBot="1">
      <c r="A20" s="96"/>
      <c r="B20" s="97"/>
      <c r="C20" s="97"/>
      <c r="D20" s="97"/>
      <c r="E20" s="98"/>
      <c r="F20" s="99" t="s">
        <v>31</v>
      </c>
      <c r="G20" s="100">
        <f>SUM(G17:G19)</f>
        <v>210000</v>
      </c>
      <c r="H20" s="101"/>
      <c r="I20" s="101"/>
      <c r="J20" s="101"/>
      <c r="K20" s="101"/>
      <c r="L20" s="101"/>
      <c r="M20" s="101"/>
      <c r="N20" s="101"/>
      <c r="O20" s="101"/>
      <c r="P20" s="101"/>
      <c r="Q20" s="101"/>
      <c r="R20" s="101"/>
      <c r="S20" s="101"/>
      <c r="T20" s="101"/>
      <c r="U20" s="101"/>
      <c r="V20" s="102"/>
      <c r="W20" s="137"/>
      <c r="Y20" s="24" t="e">
        <f>SUM(Y9:Y18)</f>
        <v>#VALUE!</v>
      </c>
      <c r="Z20" s="24" t="e">
        <f>SUM(Z9:Z18)</f>
        <v>#VALUE!</v>
      </c>
    </row>
    <row r="21" spans="1:26" s="103" customFormat="1" ht="46.35" customHeight="1">
      <c r="A21" s="103" t="s">
        <v>32</v>
      </c>
      <c r="B21" s="104"/>
      <c r="C21" s="104"/>
      <c r="D21" s="104"/>
      <c r="E21" s="105"/>
      <c r="F21" s="106"/>
      <c r="G21" s="106"/>
      <c r="H21" s="106"/>
      <c r="I21" s="106"/>
      <c r="J21" s="106"/>
      <c r="K21" s="106"/>
      <c r="L21" s="107"/>
      <c r="M21" s="107"/>
      <c r="N21" s="107"/>
      <c r="O21" s="107"/>
      <c r="P21" s="107"/>
      <c r="Q21" s="107"/>
      <c r="R21" s="107"/>
      <c r="S21" s="107"/>
      <c r="T21" s="107"/>
      <c r="U21" s="107"/>
      <c r="W21" s="137"/>
    </row>
    <row r="22" spans="1:26" s="112" customFormat="1" ht="41.45" customHeight="1">
      <c r="A22" s="108" t="s">
        <v>57</v>
      </c>
      <c r="B22" s="104"/>
      <c r="C22" s="104"/>
      <c r="D22" s="104"/>
      <c r="E22" s="105"/>
      <c r="F22" s="109"/>
      <c r="G22" s="109"/>
      <c r="H22" s="109"/>
      <c r="I22" s="109"/>
      <c r="J22" s="109"/>
      <c r="K22" s="109"/>
      <c r="L22" s="110"/>
      <c r="M22" s="110"/>
      <c r="N22" s="110"/>
      <c r="O22" s="110"/>
      <c r="P22" s="110"/>
      <c r="Q22" s="110"/>
      <c r="R22" s="110"/>
      <c r="S22" s="110"/>
      <c r="T22" s="110"/>
      <c r="U22" s="110"/>
      <c r="V22" s="111"/>
      <c r="W22" s="134"/>
    </row>
    <row r="23" spans="1:26" s="112" customFormat="1" ht="41.45" customHeight="1">
      <c r="A23" s="113" t="s">
        <v>33</v>
      </c>
      <c r="B23" s="104"/>
      <c r="C23" s="104"/>
      <c r="D23" s="105"/>
      <c r="E23" s="114"/>
      <c r="F23" s="115"/>
      <c r="G23" s="115"/>
      <c r="H23" s="115"/>
      <c r="I23" s="115"/>
      <c r="J23" s="115"/>
      <c r="K23" s="115"/>
      <c r="L23" s="110"/>
      <c r="M23" s="110"/>
      <c r="N23" s="110"/>
      <c r="O23" s="110"/>
      <c r="P23" s="110"/>
      <c r="Q23" s="110"/>
      <c r="R23" s="110"/>
      <c r="S23" s="110"/>
      <c r="T23" s="110"/>
      <c r="U23" s="110"/>
      <c r="V23" s="111"/>
      <c r="W23" s="134"/>
    </row>
    <row r="24" spans="1:26" s="112" customFormat="1" ht="41.45" customHeight="1">
      <c r="A24" s="113" t="s">
        <v>34</v>
      </c>
      <c r="B24" s="104"/>
      <c r="C24" s="104"/>
      <c r="D24" s="105"/>
      <c r="E24" s="114"/>
      <c r="F24" s="115"/>
      <c r="G24" s="116"/>
      <c r="I24" s="117"/>
      <c r="J24" s="117"/>
      <c r="K24" s="117"/>
      <c r="L24" s="117"/>
      <c r="M24" s="117"/>
      <c r="N24" s="117"/>
      <c r="O24" s="117"/>
      <c r="P24" s="117"/>
      <c r="Q24" s="117"/>
      <c r="R24" s="117"/>
      <c r="S24" s="117"/>
      <c r="T24" s="117"/>
      <c r="U24" s="117"/>
      <c r="V24" s="111"/>
      <c r="W24" s="134"/>
    </row>
    <row r="25" spans="1:26" s="112" customFormat="1" ht="41.45" customHeight="1">
      <c r="A25" s="108" t="s">
        <v>41</v>
      </c>
      <c r="B25" s="104"/>
      <c r="C25" s="104"/>
      <c r="D25" s="105"/>
      <c r="E25" s="114"/>
      <c r="F25" s="118"/>
      <c r="G25" s="119"/>
      <c r="I25" s="117"/>
      <c r="J25" s="117"/>
      <c r="K25" s="117"/>
      <c r="L25" s="117"/>
      <c r="M25" s="117"/>
      <c r="N25" s="117"/>
      <c r="O25" s="117"/>
      <c r="P25" s="117"/>
      <c r="Q25" s="117"/>
      <c r="R25" s="117"/>
      <c r="S25" s="117"/>
      <c r="T25" s="117"/>
      <c r="U25" s="117"/>
      <c r="V25" s="111"/>
      <c r="W25" s="134"/>
    </row>
    <row r="26" spans="1:26" s="112" customFormat="1" ht="41.45" customHeight="1">
      <c r="A26" s="113" t="s">
        <v>58</v>
      </c>
      <c r="B26" s="120"/>
      <c r="C26" s="120"/>
      <c r="D26" s="121"/>
      <c r="E26" s="117"/>
      <c r="F26" s="117"/>
      <c r="G26" s="114"/>
      <c r="H26" s="117"/>
      <c r="I26" s="117"/>
      <c r="J26" s="117"/>
      <c r="K26" s="117"/>
      <c r="L26" s="117"/>
      <c r="M26" s="117"/>
      <c r="N26" s="117"/>
      <c r="O26" s="117"/>
      <c r="P26" s="117"/>
      <c r="Q26" s="117"/>
      <c r="R26" s="117"/>
      <c r="S26" s="117"/>
      <c r="T26" s="117"/>
      <c r="U26" s="117"/>
      <c r="V26" s="111"/>
      <c r="W26" s="134"/>
    </row>
    <row r="27" spans="1:26" s="112" customFormat="1" ht="41.45" customHeight="1">
      <c r="A27" s="113" t="s">
        <v>59</v>
      </c>
      <c r="B27" s="120"/>
      <c r="C27" s="120"/>
      <c r="D27" s="121"/>
      <c r="E27" s="117"/>
      <c r="F27" s="117"/>
      <c r="G27" s="114"/>
      <c r="H27" s="117"/>
      <c r="I27" s="117"/>
      <c r="J27" s="117"/>
      <c r="K27" s="117"/>
      <c r="L27" s="117"/>
      <c r="M27" s="117"/>
      <c r="N27" s="117"/>
      <c r="O27" s="117"/>
      <c r="P27" s="117"/>
      <c r="Q27" s="117"/>
      <c r="R27" s="117"/>
      <c r="S27" s="117"/>
      <c r="T27" s="117"/>
      <c r="U27" s="117"/>
      <c r="V27" s="111"/>
      <c r="W27" s="134"/>
    </row>
    <row r="28" spans="1:26" s="30" customFormat="1" ht="11.7" customHeight="1">
      <c r="A28" s="25"/>
      <c r="B28" s="26"/>
      <c r="C28" s="26"/>
      <c r="D28" s="27"/>
      <c r="E28" s="28"/>
      <c r="F28" s="28"/>
      <c r="G28" s="29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134"/>
    </row>
    <row r="29" spans="1:26" s="112" customFormat="1" ht="41.45" customHeight="1">
      <c r="A29" s="179" t="s">
        <v>60</v>
      </c>
      <c r="B29" s="179"/>
      <c r="C29" s="179"/>
      <c r="D29" s="122"/>
      <c r="E29" s="122"/>
      <c r="F29" s="122"/>
      <c r="G29" s="122"/>
      <c r="H29" s="123"/>
      <c r="I29" s="180" t="s">
        <v>35</v>
      </c>
      <c r="J29" s="180"/>
      <c r="K29" s="180"/>
      <c r="L29" s="181">
        <f>B3</f>
        <v>0</v>
      </c>
      <c r="M29" s="181"/>
      <c r="N29" s="181"/>
      <c r="O29" s="181"/>
      <c r="P29" s="124"/>
      <c r="Q29" s="124"/>
      <c r="R29" s="124"/>
      <c r="S29" s="124"/>
      <c r="T29" s="124"/>
      <c r="U29" s="124"/>
      <c r="W29" s="134"/>
    </row>
    <row r="30" spans="1:26" s="125" customFormat="1" ht="41.45" customHeight="1">
      <c r="A30" s="179" t="s">
        <v>61</v>
      </c>
      <c r="B30" s="179"/>
      <c r="C30" s="179"/>
      <c r="D30" s="122"/>
      <c r="E30" s="122"/>
      <c r="F30" s="122"/>
      <c r="G30" s="122"/>
      <c r="H30" s="124"/>
      <c r="I30" s="176" t="s">
        <v>36</v>
      </c>
      <c r="J30" s="176"/>
      <c r="K30" s="176"/>
      <c r="L30" s="176"/>
      <c r="M30" s="176"/>
      <c r="N30" s="176"/>
      <c r="W30" s="140"/>
    </row>
    <row r="31" spans="1:26" s="125" customFormat="1" ht="41.45" customHeight="1">
      <c r="A31" s="175" t="s">
        <v>62</v>
      </c>
      <c r="B31" s="175"/>
      <c r="C31" s="175"/>
      <c r="D31" s="123"/>
      <c r="E31" s="123"/>
      <c r="F31" s="123"/>
      <c r="G31" s="123"/>
      <c r="H31" s="124"/>
      <c r="I31" s="176" t="s">
        <v>37</v>
      </c>
      <c r="J31" s="176"/>
      <c r="K31" s="176"/>
      <c r="L31" s="176"/>
      <c r="M31" s="176"/>
      <c r="N31" s="176"/>
      <c r="O31" s="124"/>
      <c r="P31" s="124"/>
      <c r="Q31" s="124"/>
      <c r="R31" s="124"/>
      <c r="S31" s="124"/>
      <c r="T31" s="124"/>
      <c r="U31" s="124"/>
      <c r="W31" s="140"/>
    </row>
    <row r="32" spans="1:26">
      <c r="G32" s="31"/>
    </row>
  </sheetData>
  <mergeCells count="24">
    <mergeCell ref="A1:V1"/>
    <mergeCell ref="H4:U4"/>
    <mergeCell ref="A7:A8"/>
    <mergeCell ref="B7:B8"/>
    <mergeCell ref="C7:C8"/>
    <mergeCell ref="D7:D8"/>
    <mergeCell ref="E7:E8"/>
    <mergeCell ref="F7:F8"/>
    <mergeCell ref="G7:G8"/>
    <mergeCell ref="V7:V8"/>
    <mergeCell ref="A31:C31"/>
    <mergeCell ref="I31:N31"/>
    <mergeCell ref="G9:G16"/>
    <mergeCell ref="A17:B17"/>
    <mergeCell ref="A29:C29"/>
    <mergeCell ref="I29:K29"/>
    <mergeCell ref="L29:O29"/>
    <mergeCell ref="A30:C30"/>
    <mergeCell ref="I30:N30"/>
    <mergeCell ref="A9:A10"/>
    <mergeCell ref="E9:E10"/>
    <mergeCell ref="A11:A16"/>
    <mergeCell ref="D11:D16"/>
    <mergeCell ref="E11:E16"/>
  </mergeCells>
  <phoneticPr fontId="4" type="noConversion"/>
  <conditionalFormatting sqref="H8:U8">
    <cfRule type="containsText" dxfId="5" priority="1" operator="containsText" text="日">
      <formula>NOT(ISERROR(SEARCH("日",H8)))</formula>
    </cfRule>
    <cfRule type="containsText" dxfId="4" priority="2" operator="containsText" text="六">
      <formula>NOT(ISERROR(SEARCH("六",H8)))</formula>
    </cfRule>
  </conditionalFormatting>
  <printOptions horizontalCentered="1" verticalCentered="1"/>
  <pageMargins left="0.19685039370078741" right="0.11811023622047245" top="0.19685039370078741" bottom="3.937007874015748E-2" header="0" footer="7.874015748031496E-2"/>
  <pageSetup paperSize="8" scale="32" orientation="landscape" r:id="rId1"/>
  <headerFooter alignWithMargins="0">
    <oddFooter>&amp;L&amp;F  &amp;A&amp;R&amp;D  &amp;T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B6CFB4-833B-4582-8FDB-7ACB00EBABE9}">
  <sheetPr>
    <tabColor rgb="FFFFFF00"/>
    <pageSetUpPr fitToPage="1"/>
  </sheetPr>
  <dimension ref="A1:AB32"/>
  <sheetViews>
    <sheetView showGridLines="0" view="pageBreakPreview" zoomScale="35" zoomScaleNormal="60" zoomScaleSheetLayoutView="35" zoomScalePageLayoutView="75" workbookViewId="0">
      <selection activeCell="B11" sqref="B11:C16"/>
    </sheetView>
  </sheetViews>
  <sheetFormatPr defaultColWidth="10.3515625" defaultRowHeight="27.7"/>
  <cols>
    <col min="1" max="1" width="31.234375" style="31" customWidth="1"/>
    <col min="2" max="2" width="43.9375" style="31" customWidth="1"/>
    <col min="3" max="3" width="20.87890625" style="31" customWidth="1"/>
    <col min="4" max="4" width="27.8203125" style="31" customWidth="1"/>
    <col min="5" max="5" width="19.29296875" style="31" customWidth="1"/>
    <col min="6" max="6" width="25.87890625" style="31" customWidth="1"/>
    <col min="7" max="7" width="30.46875" style="32" customWidth="1"/>
    <col min="8" max="21" width="16.41015625" style="31" customWidth="1"/>
    <col min="22" max="22" width="14" style="31" customWidth="1"/>
    <col min="23" max="23" width="20" style="140" customWidth="1"/>
    <col min="24" max="24" width="10.87890625" style="31" hidden="1" customWidth="1"/>
    <col min="25" max="26" width="26.76171875" style="31" hidden="1" customWidth="1"/>
    <col min="27" max="28" width="0" style="31" hidden="1" customWidth="1"/>
    <col min="29" max="16384" width="10.3515625" style="31"/>
  </cols>
  <sheetData>
    <row r="1" spans="1:28" s="1" customFormat="1" ht="107.1" customHeight="1">
      <c r="A1" s="143" t="s">
        <v>0</v>
      </c>
      <c r="B1" s="143"/>
      <c r="C1" s="143"/>
      <c r="D1" s="143"/>
      <c r="E1" s="143"/>
      <c r="F1" s="143"/>
      <c r="G1" s="143"/>
      <c r="H1" s="143"/>
      <c r="I1" s="143"/>
      <c r="J1" s="143"/>
      <c r="K1" s="143"/>
      <c r="L1" s="143"/>
      <c r="M1" s="143"/>
      <c r="N1" s="143"/>
      <c r="O1" s="143"/>
      <c r="P1" s="143"/>
      <c r="Q1" s="143"/>
      <c r="R1" s="143"/>
      <c r="S1" s="143"/>
      <c r="T1" s="143"/>
      <c r="U1" s="143"/>
      <c r="V1" s="143"/>
      <c r="W1" s="134"/>
    </row>
    <row r="2" spans="1:28" s="1" customFormat="1" ht="47.35" customHeight="1" thickBot="1">
      <c r="A2" s="2"/>
      <c r="B2" s="3"/>
      <c r="C2" s="4"/>
      <c r="D2" s="5"/>
      <c r="E2" s="6"/>
      <c r="F2" s="2"/>
      <c r="G2" s="6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8"/>
      <c r="W2" s="134"/>
    </row>
    <row r="3" spans="1:28" s="127" customFormat="1" ht="49.45" customHeight="1">
      <c r="A3" s="38" t="s">
        <v>1</v>
      </c>
      <c r="B3" s="126"/>
      <c r="F3" s="39"/>
      <c r="G3" s="40"/>
      <c r="H3" s="41"/>
      <c r="I3" s="41"/>
      <c r="J3" s="41"/>
      <c r="K3" s="41"/>
      <c r="L3" s="41"/>
      <c r="M3" s="41"/>
      <c r="N3" s="41"/>
      <c r="O3" s="41"/>
      <c r="P3" s="41"/>
      <c r="Q3" s="41"/>
      <c r="R3" s="41"/>
      <c r="S3" s="41"/>
      <c r="T3" s="41"/>
      <c r="U3" s="41"/>
      <c r="V3" s="42"/>
      <c r="W3" s="135"/>
    </row>
    <row r="4" spans="1:28" s="127" customFormat="1" ht="49.45" customHeight="1">
      <c r="A4" s="38" t="s">
        <v>2</v>
      </c>
      <c r="B4" s="126" t="s">
        <v>64</v>
      </c>
      <c r="F4" s="39"/>
      <c r="G4" s="40"/>
      <c r="H4" s="144"/>
      <c r="I4" s="144"/>
      <c r="J4" s="144"/>
      <c r="K4" s="144"/>
      <c r="L4" s="144"/>
      <c r="M4" s="144"/>
      <c r="N4" s="144"/>
      <c r="O4" s="144"/>
      <c r="P4" s="144"/>
      <c r="Q4" s="144"/>
      <c r="R4" s="144"/>
      <c r="S4" s="144"/>
      <c r="T4" s="144"/>
      <c r="U4" s="144"/>
      <c r="V4" s="41"/>
      <c r="W4" s="135"/>
      <c r="AA4" s="130"/>
    </row>
    <row r="5" spans="1:28" s="128" customFormat="1" ht="49.45" customHeight="1">
      <c r="A5" s="43" t="s">
        <v>3</v>
      </c>
      <c r="B5" s="43" t="s">
        <v>55</v>
      </c>
      <c r="C5" s="44"/>
      <c r="D5" s="45"/>
      <c r="E5" s="45"/>
      <c r="G5" s="46"/>
      <c r="H5" s="47"/>
      <c r="I5" s="47"/>
      <c r="J5" s="47"/>
      <c r="K5" s="47"/>
      <c r="L5" s="47"/>
      <c r="M5" s="47"/>
      <c r="N5" s="47"/>
      <c r="O5" s="47"/>
      <c r="P5" s="47"/>
      <c r="Q5" s="47"/>
      <c r="R5" s="47"/>
      <c r="S5" s="47"/>
      <c r="T5" s="47"/>
      <c r="U5" s="47"/>
      <c r="V5" s="45"/>
      <c r="W5" s="134"/>
      <c r="AA5" s="131"/>
    </row>
    <row r="6" spans="1:28" s="128" customFormat="1" ht="49.45" customHeight="1" thickBot="1">
      <c r="A6" s="43" t="s">
        <v>4</v>
      </c>
      <c r="B6" s="43" t="s">
        <v>46</v>
      </c>
      <c r="C6" s="44"/>
      <c r="D6" s="45"/>
      <c r="E6" s="45"/>
      <c r="G6" s="48"/>
      <c r="H6" s="51" t="s">
        <v>56</v>
      </c>
      <c r="I6" s="50"/>
      <c r="J6" s="50"/>
      <c r="K6" s="49"/>
      <c r="L6" s="50"/>
      <c r="M6" s="50"/>
      <c r="N6" s="50"/>
      <c r="O6" s="50"/>
      <c r="P6" s="50"/>
      <c r="Q6" s="50"/>
      <c r="R6" s="50"/>
      <c r="S6" s="50"/>
      <c r="T6" s="50"/>
      <c r="U6" s="50"/>
      <c r="V6" s="45"/>
      <c r="W6" s="141">
        <v>0.85</v>
      </c>
      <c r="AA6" s="131"/>
    </row>
    <row r="7" spans="1:28" s="9" customFormat="1" ht="47" customHeight="1" thickBot="1">
      <c r="A7" s="145" t="s">
        <v>5</v>
      </c>
      <c r="B7" s="147" t="s">
        <v>6</v>
      </c>
      <c r="C7" s="149" t="s">
        <v>7</v>
      </c>
      <c r="D7" s="147" t="s">
        <v>8</v>
      </c>
      <c r="E7" s="147" t="s">
        <v>9</v>
      </c>
      <c r="F7" s="151" t="s">
        <v>10</v>
      </c>
      <c r="G7" s="153" t="s">
        <v>11</v>
      </c>
      <c r="H7" s="52">
        <v>21</v>
      </c>
      <c r="I7" s="52">
        <f t="shared" ref="I7:O7" si="0">H7+1</f>
        <v>22</v>
      </c>
      <c r="J7" s="52">
        <f t="shared" si="0"/>
        <v>23</v>
      </c>
      <c r="K7" s="52">
        <f t="shared" si="0"/>
        <v>24</v>
      </c>
      <c r="L7" s="52">
        <f t="shared" si="0"/>
        <v>25</v>
      </c>
      <c r="M7" s="52">
        <f t="shared" si="0"/>
        <v>26</v>
      </c>
      <c r="N7" s="52">
        <f t="shared" si="0"/>
        <v>27</v>
      </c>
      <c r="O7" s="52">
        <f t="shared" si="0"/>
        <v>28</v>
      </c>
      <c r="P7" s="52">
        <f>O7+1</f>
        <v>29</v>
      </c>
      <c r="Q7" s="52">
        <v>30</v>
      </c>
      <c r="R7" s="52">
        <v>1</v>
      </c>
      <c r="S7" s="52">
        <v>2</v>
      </c>
      <c r="T7" s="52">
        <v>3</v>
      </c>
      <c r="U7" s="52">
        <v>4</v>
      </c>
      <c r="V7" s="155" t="s">
        <v>12</v>
      </c>
      <c r="W7" s="142">
        <v>0.65</v>
      </c>
      <c r="AA7" s="132"/>
    </row>
    <row r="8" spans="1:28" s="9" customFormat="1" ht="47" customHeight="1" thickBot="1">
      <c r="A8" s="146"/>
      <c r="B8" s="148"/>
      <c r="C8" s="150"/>
      <c r="D8" s="148"/>
      <c r="E8" s="148"/>
      <c r="F8" s="152"/>
      <c r="G8" s="154"/>
      <c r="H8" s="53" t="s">
        <v>13</v>
      </c>
      <c r="I8" s="53" t="s">
        <v>14</v>
      </c>
      <c r="J8" s="53" t="s">
        <v>15</v>
      </c>
      <c r="K8" s="53" t="s">
        <v>16</v>
      </c>
      <c r="L8" s="53" t="s">
        <v>17</v>
      </c>
      <c r="M8" s="53" t="s">
        <v>18</v>
      </c>
      <c r="N8" s="53" t="s">
        <v>19</v>
      </c>
      <c r="O8" s="53" t="s">
        <v>13</v>
      </c>
      <c r="P8" s="53" t="s">
        <v>14</v>
      </c>
      <c r="Q8" s="53" t="s">
        <v>15</v>
      </c>
      <c r="R8" s="53" t="s">
        <v>16</v>
      </c>
      <c r="S8" s="53" t="s">
        <v>17</v>
      </c>
      <c r="T8" s="53" t="s">
        <v>18</v>
      </c>
      <c r="U8" s="53" t="s">
        <v>19</v>
      </c>
      <c r="V8" s="156"/>
      <c r="W8" s="136" t="s">
        <v>53</v>
      </c>
      <c r="X8" s="9" t="s">
        <v>20</v>
      </c>
      <c r="Y8" s="10" t="s">
        <v>21</v>
      </c>
      <c r="Z8" s="11" t="s">
        <v>22</v>
      </c>
      <c r="AA8" s="131"/>
      <c r="AB8" s="12"/>
    </row>
    <row r="9" spans="1:28" s="13" customFormat="1" ht="54" customHeight="1">
      <c r="A9" s="157" t="s">
        <v>47</v>
      </c>
      <c r="B9" s="54" t="s">
        <v>48</v>
      </c>
      <c r="C9" s="55" t="s">
        <v>50</v>
      </c>
      <c r="D9" s="129" t="s">
        <v>38</v>
      </c>
      <c r="E9" s="159" t="str">
        <f>B4</f>
        <v>15秒</v>
      </c>
      <c r="F9" s="56">
        <f>300000/420*V9*W6</f>
        <v>85000</v>
      </c>
      <c r="G9" s="161">
        <v>200000</v>
      </c>
      <c r="H9" s="57">
        <v>10</v>
      </c>
      <c r="I9" s="58">
        <f t="shared" ref="I9:U11" si="1">H9</f>
        <v>10</v>
      </c>
      <c r="J9" s="58">
        <f>I9</f>
        <v>10</v>
      </c>
      <c r="K9" s="58">
        <f t="shared" si="1"/>
        <v>10</v>
      </c>
      <c r="L9" s="58">
        <f>K9</f>
        <v>10</v>
      </c>
      <c r="M9" s="58">
        <f t="shared" si="1"/>
        <v>10</v>
      </c>
      <c r="N9" s="58">
        <f>M9</f>
        <v>10</v>
      </c>
      <c r="O9" s="58">
        <f>N9</f>
        <v>10</v>
      </c>
      <c r="P9" s="58">
        <f>O9</f>
        <v>10</v>
      </c>
      <c r="Q9" s="58">
        <f>P9</f>
        <v>10</v>
      </c>
      <c r="R9" s="58">
        <f>Q9</f>
        <v>10</v>
      </c>
      <c r="S9" s="58">
        <f>P9</f>
        <v>10</v>
      </c>
      <c r="T9" s="58">
        <f t="shared" si="1"/>
        <v>10</v>
      </c>
      <c r="U9" s="58">
        <f t="shared" si="1"/>
        <v>10</v>
      </c>
      <c r="V9" s="59">
        <f t="shared" ref="V9:V16" si="2">SUM(H9:U9)</f>
        <v>140</v>
      </c>
      <c r="W9" s="137">
        <f>250000/420*W6*V9</f>
        <v>70833.333333333328</v>
      </c>
      <c r="X9" s="14" t="s">
        <v>23</v>
      </c>
      <c r="Y9" s="15" t="e">
        <f>C9*V9</f>
        <v>#VALUE!</v>
      </c>
      <c r="Z9" s="15" t="e">
        <f>C9*1000/24/6*V9</f>
        <v>#VALUE!</v>
      </c>
      <c r="AA9" s="12"/>
      <c r="AB9" s="12"/>
    </row>
    <row r="10" spans="1:28" s="13" customFormat="1" ht="54" customHeight="1" thickBot="1">
      <c r="A10" s="158"/>
      <c r="B10" s="60" t="s">
        <v>49</v>
      </c>
      <c r="C10" s="61" t="s">
        <v>51</v>
      </c>
      <c r="D10" s="133" t="s">
        <v>39</v>
      </c>
      <c r="E10" s="160"/>
      <c r="F10" s="62" t="s">
        <v>40</v>
      </c>
      <c r="G10" s="162"/>
      <c r="H10" s="63">
        <v>18</v>
      </c>
      <c r="I10" s="64">
        <f>H10</f>
        <v>18</v>
      </c>
      <c r="J10" s="64">
        <v>17</v>
      </c>
      <c r="K10" s="64">
        <f t="shared" si="1"/>
        <v>17</v>
      </c>
      <c r="L10" s="64">
        <f t="shared" si="1"/>
        <v>17</v>
      </c>
      <c r="M10" s="64">
        <f t="shared" si="1"/>
        <v>17</v>
      </c>
      <c r="N10" s="64">
        <f>M10</f>
        <v>17</v>
      </c>
      <c r="O10" s="64">
        <f t="shared" si="1"/>
        <v>17</v>
      </c>
      <c r="P10" s="64">
        <f t="shared" ref="P10:R11" si="3">O10</f>
        <v>17</v>
      </c>
      <c r="Q10" s="64">
        <f t="shared" si="3"/>
        <v>17</v>
      </c>
      <c r="R10" s="64">
        <f t="shared" si="3"/>
        <v>17</v>
      </c>
      <c r="S10" s="64">
        <f t="shared" ref="S10" si="4">P10</f>
        <v>17</v>
      </c>
      <c r="T10" s="64">
        <f t="shared" si="1"/>
        <v>17</v>
      </c>
      <c r="U10" s="64">
        <f>T10</f>
        <v>17</v>
      </c>
      <c r="V10" s="65">
        <f t="shared" si="2"/>
        <v>240</v>
      </c>
      <c r="W10" s="137"/>
      <c r="X10" s="16" t="s">
        <v>24</v>
      </c>
      <c r="Y10" s="15" t="e">
        <f>C10*V10</f>
        <v>#VALUE!</v>
      </c>
      <c r="Z10" s="15" t="e">
        <f>C10*1000/24/6*V10</f>
        <v>#VALUE!</v>
      </c>
      <c r="AA10" s="12"/>
      <c r="AB10" s="12"/>
    </row>
    <row r="11" spans="1:28" s="13" customFormat="1" ht="54" customHeight="1" thickBot="1">
      <c r="A11" s="164" t="s">
        <v>25</v>
      </c>
      <c r="B11" s="66" t="s">
        <v>67</v>
      </c>
      <c r="C11" s="67">
        <v>1673</v>
      </c>
      <c r="D11" s="182" t="s">
        <v>66</v>
      </c>
      <c r="E11" s="172" t="str">
        <f>B4</f>
        <v>15秒</v>
      </c>
      <c r="F11" s="68">
        <f>250000/480*V11*W7</f>
        <v>99531.25</v>
      </c>
      <c r="G11" s="162"/>
      <c r="H11" s="69">
        <v>21</v>
      </c>
      <c r="I11" s="70">
        <f>H11</f>
        <v>21</v>
      </c>
      <c r="J11" s="70">
        <f t="shared" si="1"/>
        <v>21</v>
      </c>
      <c r="K11" s="70">
        <f t="shared" si="1"/>
        <v>21</v>
      </c>
      <c r="L11" s="70">
        <f t="shared" si="1"/>
        <v>21</v>
      </c>
      <c r="M11" s="70">
        <f t="shared" si="1"/>
        <v>21</v>
      </c>
      <c r="N11" s="70">
        <f t="shared" si="1"/>
        <v>21</v>
      </c>
      <c r="O11" s="70">
        <f t="shared" si="1"/>
        <v>21</v>
      </c>
      <c r="P11" s="70">
        <f t="shared" si="3"/>
        <v>21</v>
      </c>
      <c r="Q11" s="70">
        <f t="shared" si="3"/>
        <v>21</v>
      </c>
      <c r="R11" s="70">
        <f t="shared" si="3"/>
        <v>21</v>
      </c>
      <c r="S11" s="70">
        <f>R11</f>
        <v>21</v>
      </c>
      <c r="T11" s="70">
        <f t="shared" si="1"/>
        <v>21</v>
      </c>
      <c r="U11" s="70">
        <f t="shared" si="1"/>
        <v>21</v>
      </c>
      <c r="V11" s="71">
        <f t="shared" si="2"/>
        <v>294</v>
      </c>
      <c r="W11" s="137">
        <f>320000/480*W7*V11</f>
        <v>127400</v>
      </c>
      <c r="X11" s="33" t="s">
        <v>26</v>
      </c>
      <c r="Y11" s="34">
        <f t="shared" ref="Y11:Y16" si="5">V11*C11</f>
        <v>491862</v>
      </c>
      <c r="Z11" s="35">
        <f t="shared" ref="Z11:Z16" si="6">1000*(C11/24/6)*V11</f>
        <v>3415708.333333333</v>
      </c>
    </row>
    <row r="12" spans="1:28" s="13" customFormat="1" ht="54" customHeight="1" thickBot="1">
      <c r="A12" s="165"/>
      <c r="B12" s="60" t="s">
        <v>27</v>
      </c>
      <c r="C12" s="72">
        <v>788</v>
      </c>
      <c r="D12" s="169"/>
      <c r="E12" s="160"/>
      <c r="F12" s="62">
        <f>150000/480*V12*W7</f>
        <v>59718.75</v>
      </c>
      <c r="G12" s="162"/>
      <c r="H12" s="63">
        <f>H11</f>
        <v>21</v>
      </c>
      <c r="I12" s="64">
        <f>I11</f>
        <v>21</v>
      </c>
      <c r="J12" s="64">
        <f t="shared" ref="J12:U12" si="7">J11</f>
        <v>21</v>
      </c>
      <c r="K12" s="64">
        <f t="shared" si="7"/>
        <v>21</v>
      </c>
      <c r="L12" s="64">
        <f t="shared" si="7"/>
        <v>21</v>
      </c>
      <c r="M12" s="64">
        <f t="shared" si="7"/>
        <v>21</v>
      </c>
      <c r="N12" s="64">
        <f t="shared" si="7"/>
        <v>21</v>
      </c>
      <c r="O12" s="64">
        <f t="shared" si="7"/>
        <v>21</v>
      </c>
      <c r="P12" s="64">
        <f t="shared" si="7"/>
        <v>21</v>
      </c>
      <c r="Q12" s="64">
        <f>Q11</f>
        <v>21</v>
      </c>
      <c r="R12" s="64">
        <f>R11</f>
        <v>21</v>
      </c>
      <c r="S12" s="64">
        <f t="shared" si="7"/>
        <v>21</v>
      </c>
      <c r="T12" s="64">
        <f t="shared" si="7"/>
        <v>21</v>
      </c>
      <c r="U12" s="64">
        <f t="shared" si="7"/>
        <v>21</v>
      </c>
      <c r="V12" s="65">
        <f t="shared" si="2"/>
        <v>294</v>
      </c>
      <c r="W12" s="137"/>
      <c r="X12" s="33" t="s">
        <v>26</v>
      </c>
      <c r="Y12" s="34">
        <f t="shared" si="5"/>
        <v>231672</v>
      </c>
      <c r="Z12" s="35">
        <f t="shared" si="6"/>
        <v>1608833.3333333335</v>
      </c>
    </row>
    <row r="13" spans="1:28" s="13" customFormat="1" ht="54" customHeight="1" thickBot="1">
      <c r="A13" s="165"/>
      <c r="B13" s="60" t="s">
        <v>42</v>
      </c>
      <c r="C13" s="72">
        <v>850</v>
      </c>
      <c r="D13" s="169"/>
      <c r="E13" s="160"/>
      <c r="F13" s="62">
        <f>150000/480*V13*W7</f>
        <v>59718.75</v>
      </c>
      <c r="G13" s="162"/>
      <c r="H13" s="63">
        <f>H11</f>
        <v>21</v>
      </c>
      <c r="I13" s="64">
        <f>I11</f>
        <v>21</v>
      </c>
      <c r="J13" s="64">
        <f t="shared" ref="J13:U13" si="8">J11</f>
        <v>21</v>
      </c>
      <c r="K13" s="64">
        <f t="shared" si="8"/>
        <v>21</v>
      </c>
      <c r="L13" s="64">
        <f t="shared" si="8"/>
        <v>21</v>
      </c>
      <c r="M13" s="64">
        <f t="shared" si="8"/>
        <v>21</v>
      </c>
      <c r="N13" s="64">
        <f t="shared" si="8"/>
        <v>21</v>
      </c>
      <c r="O13" s="64">
        <f t="shared" si="8"/>
        <v>21</v>
      </c>
      <c r="P13" s="64">
        <f t="shared" si="8"/>
        <v>21</v>
      </c>
      <c r="Q13" s="64">
        <f>Q11</f>
        <v>21</v>
      </c>
      <c r="R13" s="64">
        <f>R11</f>
        <v>21</v>
      </c>
      <c r="S13" s="64">
        <f t="shared" si="8"/>
        <v>21</v>
      </c>
      <c r="T13" s="64">
        <f t="shared" si="8"/>
        <v>21</v>
      </c>
      <c r="U13" s="64">
        <f t="shared" si="8"/>
        <v>21</v>
      </c>
      <c r="V13" s="65">
        <f t="shared" si="2"/>
        <v>294</v>
      </c>
      <c r="W13" s="137"/>
      <c r="X13" s="33" t="s">
        <v>26</v>
      </c>
      <c r="Y13" s="34">
        <f t="shared" si="5"/>
        <v>249900</v>
      </c>
      <c r="Z13" s="35">
        <f t="shared" si="6"/>
        <v>1735416.6666666665</v>
      </c>
    </row>
    <row r="14" spans="1:28" s="13" customFormat="1" ht="54" customHeight="1" thickBot="1">
      <c r="A14" s="166"/>
      <c r="B14" s="60" t="s">
        <v>44</v>
      </c>
      <c r="C14" s="72">
        <v>501</v>
      </c>
      <c r="D14" s="170"/>
      <c r="E14" s="173"/>
      <c r="F14" s="62">
        <f>100000/480*V14*W7</f>
        <v>39812.5</v>
      </c>
      <c r="G14" s="162"/>
      <c r="H14" s="63">
        <f t="shared" ref="H14:U15" si="9">H11</f>
        <v>21</v>
      </c>
      <c r="I14" s="64">
        <f t="shared" si="9"/>
        <v>21</v>
      </c>
      <c r="J14" s="64">
        <f t="shared" si="9"/>
        <v>21</v>
      </c>
      <c r="K14" s="64">
        <f t="shared" si="9"/>
        <v>21</v>
      </c>
      <c r="L14" s="64">
        <f t="shared" si="9"/>
        <v>21</v>
      </c>
      <c r="M14" s="64">
        <f t="shared" si="9"/>
        <v>21</v>
      </c>
      <c r="N14" s="64">
        <f t="shared" si="9"/>
        <v>21</v>
      </c>
      <c r="O14" s="64">
        <f t="shared" si="9"/>
        <v>21</v>
      </c>
      <c r="P14" s="64">
        <f t="shared" si="9"/>
        <v>21</v>
      </c>
      <c r="Q14" s="64">
        <f>Q11</f>
        <v>21</v>
      </c>
      <c r="R14" s="64">
        <f>R11</f>
        <v>21</v>
      </c>
      <c r="S14" s="64">
        <f t="shared" si="9"/>
        <v>21</v>
      </c>
      <c r="T14" s="64">
        <f t="shared" si="9"/>
        <v>21</v>
      </c>
      <c r="U14" s="64">
        <f t="shared" si="9"/>
        <v>21</v>
      </c>
      <c r="V14" s="65">
        <f t="shared" si="2"/>
        <v>294</v>
      </c>
      <c r="W14" s="137"/>
      <c r="X14" s="33" t="s">
        <v>26</v>
      </c>
      <c r="Y14" s="34">
        <f t="shared" si="5"/>
        <v>147294</v>
      </c>
      <c r="Z14" s="35">
        <f t="shared" si="6"/>
        <v>1022875</v>
      </c>
    </row>
    <row r="15" spans="1:28" s="13" customFormat="1" ht="54" customHeight="1" thickBot="1">
      <c r="A15" s="166"/>
      <c r="B15" s="60" t="s">
        <v>43</v>
      </c>
      <c r="C15" s="72">
        <v>503</v>
      </c>
      <c r="D15" s="170"/>
      <c r="E15" s="173"/>
      <c r="F15" s="62">
        <f>100000/480*V15*W7</f>
        <v>39812.5</v>
      </c>
      <c r="G15" s="162"/>
      <c r="H15" s="63">
        <f t="shared" si="9"/>
        <v>21</v>
      </c>
      <c r="I15" s="64">
        <f t="shared" si="9"/>
        <v>21</v>
      </c>
      <c r="J15" s="64">
        <f t="shared" si="9"/>
        <v>21</v>
      </c>
      <c r="K15" s="64">
        <f t="shared" si="9"/>
        <v>21</v>
      </c>
      <c r="L15" s="64">
        <f t="shared" si="9"/>
        <v>21</v>
      </c>
      <c r="M15" s="64">
        <f t="shared" si="9"/>
        <v>21</v>
      </c>
      <c r="N15" s="64">
        <f t="shared" si="9"/>
        <v>21</v>
      </c>
      <c r="O15" s="64">
        <f t="shared" si="9"/>
        <v>21</v>
      </c>
      <c r="P15" s="64">
        <f t="shared" si="9"/>
        <v>21</v>
      </c>
      <c r="Q15" s="64">
        <f>Q11</f>
        <v>21</v>
      </c>
      <c r="R15" s="64">
        <f>R11</f>
        <v>21</v>
      </c>
      <c r="S15" s="64">
        <f t="shared" si="9"/>
        <v>21</v>
      </c>
      <c r="T15" s="64">
        <f t="shared" si="9"/>
        <v>21</v>
      </c>
      <c r="U15" s="64">
        <f t="shared" si="9"/>
        <v>21</v>
      </c>
      <c r="V15" s="65">
        <f t="shared" si="2"/>
        <v>294</v>
      </c>
      <c r="W15" s="137"/>
      <c r="X15" s="33" t="s">
        <v>26</v>
      </c>
      <c r="Y15" s="34">
        <f t="shared" si="5"/>
        <v>147882</v>
      </c>
      <c r="Z15" s="35">
        <f t="shared" si="6"/>
        <v>1026958.3333333333</v>
      </c>
    </row>
    <row r="16" spans="1:28" s="36" customFormat="1" ht="54" customHeight="1" thickBot="1">
      <c r="A16" s="167"/>
      <c r="B16" s="73" t="s">
        <v>45</v>
      </c>
      <c r="C16" s="74">
        <v>182</v>
      </c>
      <c r="D16" s="171"/>
      <c r="E16" s="174"/>
      <c r="F16" s="75">
        <f>62500/480*V16*W7</f>
        <v>24882.8125</v>
      </c>
      <c r="G16" s="163"/>
      <c r="H16" s="76">
        <f>H11</f>
        <v>21</v>
      </c>
      <c r="I16" s="77">
        <f>I11</f>
        <v>21</v>
      </c>
      <c r="J16" s="77">
        <f t="shared" ref="J16:U16" si="10">J11</f>
        <v>21</v>
      </c>
      <c r="K16" s="77">
        <f t="shared" si="10"/>
        <v>21</v>
      </c>
      <c r="L16" s="77">
        <f t="shared" si="10"/>
        <v>21</v>
      </c>
      <c r="M16" s="77">
        <f t="shared" si="10"/>
        <v>21</v>
      </c>
      <c r="N16" s="77">
        <f t="shared" si="10"/>
        <v>21</v>
      </c>
      <c r="O16" s="77">
        <f t="shared" si="10"/>
        <v>21</v>
      </c>
      <c r="P16" s="77">
        <f t="shared" si="10"/>
        <v>21</v>
      </c>
      <c r="Q16" s="77">
        <f>Q11</f>
        <v>21</v>
      </c>
      <c r="R16" s="77">
        <f>R11</f>
        <v>21</v>
      </c>
      <c r="S16" s="77">
        <f t="shared" si="10"/>
        <v>21</v>
      </c>
      <c r="T16" s="77">
        <f t="shared" si="10"/>
        <v>21</v>
      </c>
      <c r="U16" s="77">
        <f t="shared" si="10"/>
        <v>21</v>
      </c>
      <c r="V16" s="78">
        <f t="shared" si="2"/>
        <v>294</v>
      </c>
      <c r="W16" s="137"/>
      <c r="X16" s="33" t="s">
        <v>26</v>
      </c>
      <c r="Y16" s="34">
        <f t="shared" si="5"/>
        <v>53508</v>
      </c>
      <c r="Z16" s="35">
        <f t="shared" si="6"/>
        <v>371583.33333333331</v>
      </c>
      <c r="AA16" s="37"/>
      <c r="AB16" s="37"/>
    </row>
    <row r="17" spans="1:26" s="17" customFormat="1" ht="52" customHeight="1" thickBot="1">
      <c r="A17" s="177"/>
      <c r="B17" s="178"/>
      <c r="C17" s="79"/>
      <c r="D17" s="80"/>
      <c r="E17" s="81" t="s">
        <v>28</v>
      </c>
      <c r="F17" s="82">
        <f>SUM(F9:F16)</f>
        <v>408476.5625</v>
      </c>
      <c r="G17" s="83">
        <f>SUM(G9:G13)</f>
        <v>200000</v>
      </c>
      <c r="H17" s="84">
        <f t="shared" ref="H17:U17" si="11">SUM(H9:H16)</f>
        <v>154</v>
      </c>
      <c r="I17" s="84">
        <f t="shared" si="11"/>
        <v>154</v>
      </c>
      <c r="J17" s="84">
        <f t="shared" si="11"/>
        <v>153</v>
      </c>
      <c r="K17" s="84">
        <f t="shared" si="11"/>
        <v>153</v>
      </c>
      <c r="L17" s="84">
        <f t="shared" si="11"/>
        <v>153</v>
      </c>
      <c r="M17" s="84">
        <f t="shared" si="11"/>
        <v>153</v>
      </c>
      <c r="N17" s="84">
        <f t="shared" si="11"/>
        <v>153</v>
      </c>
      <c r="O17" s="84">
        <f t="shared" si="11"/>
        <v>153</v>
      </c>
      <c r="P17" s="84">
        <f t="shared" si="11"/>
        <v>153</v>
      </c>
      <c r="Q17" s="84">
        <f t="shared" si="11"/>
        <v>153</v>
      </c>
      <c r="R17" s="84">
        <f t="shared" si="11"/>
        <v>153</v>
      </c>
      <c r="S17" s="84">
        <f t="shared" si="11"/>
        <v>153</v>
      </c>
      <c r="T17" s="84">
        <f t="shared" si="11"/>
        <v>153</v>
      </c>
      <c r="U17" s="84">
        <f t="shared" si="11"/>
        <v>153</v>
      </c>
      <c r="V17" s="85">
        <f>SUM(V7:V16)</f>
        <v>2144</v>
      </c>
      <c r="W17" s="138">
        <f>SUM(W9:W16)</f>
        <v>198233.33333333331</v>
      </c>
      <c r="Y17" s="18"/>
      <c r="Z17" s="18"/>
    </row>
    <row r="18" spans="1:26" s="20" customFormat="1" ht="43.7" customHeight="1">
      <c r="A18" s="19"/>
      <c r="B18" s="86"/>
      <c r="C18" s="86"/>
      <c r="D18" s="86"/>
      <c r="E18" s="87"/>
      <c r="F18" s="88" t="s">
        <v>29</v>
      </c>
      <c r="G18" s="89">
        <v>0</v>
      </c>
      <c r="H18" s="90"/>
      <c r="I18" s="90"/>
      <c r="J18" s="90"/>
      <c r="K18" s="90"/>
      <c r="L18" s="90"/>
      <c r="M18" s="90"/>
      <c r="N18" s="90"/>
      <c r="O18" s="90"/>
      <c r="P18" s="90"/>
      <c r="Q18" s="90"/>
      <c r="R18" s="90"/>
      <c r="S18" s="90"/>
      <c r="T18" s="90"/>
      <c r="U18" s="90"/>
      <c r="V18" s="91"/>
      <c r="W18" s="139"/>
      <c r="Y18" s="21"/>
      <c r="Z18" s="21"/>
    </row>
    <row r="19" spans="1:26" s="20" customFormat="1" ht="43.7" customHeight="1">
      <c r="A19" s="22"/>
      <c r="B19" s="92"/>
      <c r="C19" s="92"/>
      <c r="D19" s="92"/>
      <c r="E19" s="93"/>
      <c r="F19" s="94" t="s">
        <v>30</v>
      </c>
      <c r="G19" s="95">
        <f>SUM(G17:G18)*5%</f>
        <v>10000</v>
      </c>
      <c r="H19" s="90"/>
      <c r="I19" s="90"/>
      <c r="J19" s="90"/>
      <c r="K19" s="90"/>
      <c r="L19" s="90"/>
      <c r="M19" s="90"/>
      <c r="N19" s="90"/>
      <c r="O19" s="90"/>
      <c r="P19" s="90"/>
      <c r="Q19" s="90"/>
      <c r="R19" s="90"/>
      <c r="S19" s="90"/>
      <c r="T19" s="90"/>
      <c r="U19" s="90"/>
      <c r="V19" s="91"/>
      <c r="W19" s="139"/>
      <c r="Y19" s="18"/>
      <c r="Z19" s="18"/>
    </row>
    <row r="20" spans="1:26" s="23" customFormat="1" ht="43.7" customHeight="1" thickBot="1">
      <c r="A20" s="96"/>
      <c r="B20" s="97"/>
      <c r="C20" s="97"/>
      <c r="D20" s="97"/>
      <c r="E20" s="98"/>
      <c r="F20" s="99" t="s">
        <v>31</v>
      </c>
      <c r="G20" s="100">
        <f>SUM(G17:G19)</f>
        <v>210000</v>
      </c>
      <c r="H20" s="101"/>
      <c r="I20" s="101"/>
      <c r="J20" s="101"/>
      <c r="K20" s="101"/>
      <c r="L20" s="101"/>
      <c r="M20" s="101"/>
      <c r="N20" s="101"/>
      <c r="O20" s="101"/>
      <c r="P20" s="101"/>
      <c r="Q20" s="101"/>
      <c r="R20" s="101"/>
      <c r="S20" s="101"/>
      <c r="T20" s="101"/>
      <c r="U20" s="101"/>
      <c r="V20" s="102"/>
      <c r="W20" s="137"/>
      <c r="Y20" s="24" t="e">
        <f>SUM(Y9:Y18)</f>
        <v>#VALUE!</v>
      </c>
      <c r="Z20" s="24" t="e">
        <f>SUM(Z9:Z18)</f>
        <v>#VALUE!</v>
      </c>
    </row>
    <row r="21" spans="1:26" s="103" customFormat="1" ht="46.35" customHeight="1">
      <c r="A21" s="103" t="s">
        <v>32</v>
      </c>
      <c r="B21" s="104"/>
      <c r="C21" s="104"/>
      <c r="D21" s="104"/>
      <c r="E21" s="105"/>
      <c r="F21" s="106"/>
      <c r="G21" s="106"/>
      <c r="H21" s="106"/>
      <c r="I21" s="106"/>
      <c r="J21" s="106"/>
      <c r="K21" s="106"/>
      <c r="L21" s="107"/>
      <c r="M21" s="107"/>
      <c r="N21" s="107"/>
      <c r="O21" s="107"/>
      <c r="P21" s="107"/>
      <c r="Q21" s="107"/>
      <c r="R21" s="107"/>
      <c r="S21" s="107"/>
      <c r="T21" s="107"/>
      <c r="U21" s="107"/>
      <c r="W21" s="137"/>
    </row>
    <row r="22" spans="1:26" s="112" customFormat="1" ht="41.45" customHeight="1">
      <c r="A22" s="108" t="s">
        <v>57</v>
      </c>
      <c r="B22" s="104"/>
      <c r="C22" s="104"/>
      <c r="D22" s="104"/>
      <c r="E22" s="105"/>
      <c r="F22" s="109"/>
      <c r="G22" s="109"/>
      <c r="H22" s="109"/>
      <c r="I22" s="109"/>
      <c r="J22" s="109"/>
      <c r="K22" s="109"/>
      <c r="L22" s="110"/>
      <c r="M22" s="110"/>
      <c r="N22" s="110"/>
      <c r="O22" s="110"/>
      <c r="P22" s="110"/>
      <c r="Q22" s="110"/>
      <c r="R22" s="110"/>
      <c r="S22" s="110"/>
      <c r="T22" s="110"/>
      <c r="U22" s="110"/>
      <c r="V22" s="111"/>
      <c r="W22" s="134"/>
    </row>
    <row r="23" spans="1:26" s="112" customFormat="1" ht="41.45" customHeight="1">
      <c r="A23" s="113" t="s">
        <v>33</v>
      </c>
      <c r="B23" s="104"/>
      <c r="C23" s="104"/>
      <c r="D23" s="105"/>
      <c r="E23" s="114"/>
      <c r="F23" s="115"/>
      <c r="G23" s="115"/>
      <c r="H23" s="115"/>
      <c r="I23" s="115"/>
      <c r="J23" s="115"/>
      <c r="K23" s="115"/>
      <c r="L23" s="110"/>
      <c r="M23" s="110"/>
      <c r="N23" s="110"/>
      <c r="O23" s="110"/>
      <c r="P23" s="110"/>
      <c r="Q23" s="110"/>
      <c r="R23" s="110"/>
      <c r="S23" s="110"/>
      <c r="T23" s="110"/>
      <c r="U23" s="110"/>
      <c r="V23" s="111"/>
      <c r="W23" s="134"/>
    </row>
    <row r="24" spans="1:26" s="112" customFormat="1" ht="41.45" customHeight="1">
      <c r="A24" s="113" t="s">
        <v>34</v>
      </c>
      <c r="B24" s="104"/>
      <c r="C24" s="104"/>
      <c r="D24" s="105"/>
      <c r="E24" s="114"/>
      <c r="F24" s="115"/>
      <c r="G24" s="116"/>
      <c r="I24" s="117"/>
      <c r="J24" s="117"/>
      <c r="K24" s="117"/>
      <c r="L24" s="117"/>
      <c r="M24" s="117"/>
      <c r="N24" s="117"/>
      <c r="O24" s="117"/>
      <c r="P24" s="117"/>
      <c r="Q24" s="117"/>
      <c r="R24" s="117"/>
      <c r="S24" s="117"/>
      <c r="T24" s="117"/>
      <c r="U24" s="117"/>
      <c r="V24" s="111"/>
      <c r="W24" s="134"/>
    </row>
    <row r="25" spans="1:26" s="112" customFormat="1" ht="41.45" customHeight="1">
      <c r="A25" s="108" t="s">
        <v>41</v>
      </c>
      <c r="B25" s="104"/>
      <c r="C25" s="104"/>
      <c r="D25" s="105"/>
      <c r="E25" s="114"/>
      <c r="F25" s="118"/>
      <c r="G25" s="119"/>
      <c r="I25" s="117"/>
      <c r="J25" s="117"/>
      <c r="K25" s="117"/>
      <c r="L25" s="117"/>
      <c r="M25" s="117"/>
      <c r="N25" s="117"/>
      <c r="O25" s="117"/>
      <c r="P25" s="117"/>
      <c r="Q25" s="117"/>
      <c r="R25" s="117"/>
      <c r="S25" s="117"/>
      <c r="T25" s="117"/>
      <c r="U25" s="117"/>
      <c r="V25" s="111"/>
      <c r="W25" s="134"/>
    </row>
    <row r="26" spans="1:26" s="112" customFormat="1" ht="41.45" customHeight="1">
      <c r="A26" s="113" t="s">
        <v>58</v>
      </c>
      <c r="B26" s="120"/>
      <c r="C26" s="120"/>
      <c r="D26" s="121"/>
      <c r="E26" s="117"/>
      <c r="F26" s="117"/>
      <c r="G26" s="114"/>
      <c r="H26" s="117"/>
      <c r="I26" s="117"/>
      <c r="J26" s="117"/>
      <c r="K26" s="117"/>
      <c r="L26" s="117"/>
      <c r="M26" s="117"/>
      <c r="N26" s="117"/>
      <c r="O26" s="117"/>
      <c r="P26" s="117"/>
      <c r="Q26" s="117"/>
      <c r="R26" s="117"/>
      <c r="S26" s="117"/>
      <c r="T26" s="117"/>
      <c r="U26" s="117"/>
      <c r="V26" s="111"/>
      <c r="W26" s="134"/>
    </row>
    <row r="27" spans="1:26" s="112" customFormat="1" ht="41.45" customHeight="1">
      <c r="A27" s="113" t="s">
        <v>59</v>
      </c>
      <c r="B27" s="120"/>
      <c r="C27" s="120"/>
      <c r="D27" s="121"/>
      <c r="E27" s="117"/>
      <c r="F27" s="117"/>
      <c r="G27" s="114"/>
      <c r="H27" s="117"/>
      <c r="I27" s="117"/>
      <c r="J27" s="117"/>
      <c r="K27" s="117"/>
      <c r="L27" s="117"/>
      <c r="M27" s="117"/>
      <c r="N27" s="117"/>
      <c r="O27" s="117"/>
      <c r="P27" s="117"/>
      <c r="Q27" s="117"/>
      <c r="R27" s="117"/>
      <c r="S27" s="117"/>
      <c r="T27" s="117"/>
      <c r="U27" s="117"/>
      <c r="V27" s="111"/>
      <c r="W27" s="134"/>
    </row>
    <row r="28" spans="1:26" s="30" customFormat="1" ht="11.7" customHeight="1">
      <c r="A28" s="25"/>
      <c r="B28" s="26"/>
      <c r="C28" s="26"/>
      <c r="D28" s="27"/>
      <c r="E28" s="28"/>
      <c r="F28" s="28"/>
      <c r="G28" s="29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134"/>
    </row>
    <row r="29" spans="1:26" s="112" customFormat="1" ht="41.45" customHeight="1">
      <c r="A29" s="179" t="s">
        <v>60</v>
      </c>
      <c r="B29" s="179"/>
      <c r="C29" s="179"/>
      <c r="D29" s="122"/>
      <c r="E29" s="122"/>
      <c r="F29" s="122"/>
      <c r="G29" s="122"/>
      <c r="H29" s="123"/>
      <c r="I29" s="180" t="s">
        <v>35</v>
      </c>
      <c r="J29" s="180"/>
      <c r="K29" s="180"/>
      <c r="L29" s="181">
        <f>B3</f>
        <v>0</v>
      </c>
      <c r="M29" s="181"/>
      <c r="N29" s="181"/>
      <c r="O29" s="181"/>
      <c r="P29" s="124"/>
      <c r="Q29" s="124"/>
      <c r="R29" s="124"/>
      <c r="S29" s="124"/>
      <c r="T29" s="124"/>
      <c r="U29" s="124"/>
      <c r="W29" s="134"/>
    </row>
    <row r="30" spans="1:26" s="125" customFormat="1" ht="41.45" customHeight="1">
      <c r="A30" s="179" t="s">
        <v>61</v>
      </c>
      <c r="B30" s="179"/>
      <c r="C30" s="179"/>
      <c r="D30" s="122"/>
      <c r="E30" s="122"/>
      <c r="F30" s="122"/>
      <c r="G30" s="122"/>
      <c r="H30" s="124"/>
      <c r="I30" s="176" t="s">
        <v>36</v>
      </c>
      <c r="J30" s="176"/>
      <c r="K30" s="176"/>
      <c r="L30" s="176"/>
      <c r="M30" s="176"/>
      <c r="N30" s="176"/>
      <c r="W30" s="140"/>
    </row>
    <row r="31" spans="1:26" s="125" customFormat="1" ht="41.45" customHeight="1">
      <c r="A31" s="175" t="s">
        <v>62</v>
      </c>
      <c r="B31" s="175"/>
      <c r="C31" s="175"/>
      <c r="D31" s="123"/>
      <c r="E31" s="123"/>
      <c r="F31" s="123"/>
      <c r="G31" s="123"/>
      <c r="H31" s="124"/>
      <c r="I31" s="176" t="s">
        <v>37</v>
      </c>
      <c r="J31" s="176"/>
      <c r="K31" s="176"/>
      <c r="L31" s="176"/>
      <c r="M31" s="176"/>
      <c r="N31" s="176"/>
      <c r="O31" s="124"/>
      <c r="P31" s="124"/>
      <c r="Q31" s="124"/>
      <c r="R31" s="124"/>
      <c r="S31" s="124"/>
      <c r="T31" s="124"/>
      <c r="U31" s="124"/>
      <c r="W31" s="140"/>
    </row>
    <row r="32" spans="1:26">
      <c r="G32" s="31"/>
    </row>
  </sheetData>
  <mergeCells count="24">
    <mergeCell ref="A31:C31"/>
    <mergeCell ref="I31:N31"/>
    <mergeCell ref="A17:B17"/>
    <mergeCell ref="A29:C29"/>
    <mergeCell ref="I29:K29"/>
    <mergeCell ref="L29:O29"/>
    <mergeCell ref="A30:C30"/>
    <mergeCell ref="I30:N30"/>
    <mergeCell ref="A9:A10"/>
    <mergeCell ref="E9:E10"/>
    <mergeCell ref="G9:G16"/>
    <mergeCell ref="A11:A16"/>
    <mergeCell ref="D11:D16"/>
    <mergeCell ref="E11:E16"/>
    <mergeCell ref="A1:V1"/>
    <mergeCell ref="H4:U4"/>
    <mergeCell ref="A7:A8"/>
    <mergeCell ref="B7:B8"/>
    <mergeCell ref="C7:C8"/>
    <mergeCell ref="D7:D8"/>
    <mergeCell ref="E7:E8"/>
    <mergeCell ref="F7:F8"/>
    <mergeCell ref="G7:G8"/>
    <mergeCell ref="V7:V8"/>
  </mergeCells>
  <phoneticPr fontId="4" type="noConversion"/>
  <conditionalFormatting sqref="H8:U8">
    <cfRule type="containsText" dxfId="3" priority="1" operator="containsText" text="日">
      <formula>NOT(ISERROR(SEARCH("日",H8)))</formula>
    </cfRule>
    <cfRule type="containsText" dxfId="2" priority="2" operator="containsText" text="六">
      <formula>NOT(ISERROR(SEARCH("六",H8)))</formula>
    </cfRule>
  </conditionalFormatting>
  <printOptions horizontalCentered="1" verticalCentered="1"/>
  <pageMargins left="0.19685039370078741" right="0.11811023622047245" top="0.19685039370078741" bottom="3.937007874015748E-2" header="0" footer="7.874015748031496E-2"/>
  <pageSetup paperSize="8" scale="32" orientation="landscape" r:id="rId1"/>
  <headerFooter alignWithMargins="0">
    <oddFooter>&amp;L&amp;F  &amp;A&amp;R&amp;D  &amp;T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393881-FBCA-4AC5-8790-095AEE4F1B51}">
  <sheetPr>
    <tabColor rgb="FFFFFF00"/>
    <pageSetUpPr fitToPage="1"/>
  </sheetPr>
  <dimension ref="A1:AB32"/>
  <sheetViews>
    <sheetView showGridLines="0" view="pageBreakPreview" zoomScale="35" zoomScaleNormal="60" zoomScaleSheetLayoutView="35" zoomScalePageLayoutView="75" workbookViewId="0">
      <selection activeCell="B11" sqref="B11:C16"/>
    </sheetView>
  </sheetViews>
  <sheetFormatPr defaultColWidth="10.3515625" defaultRowHeight="27.7"/>
  <cols>
    <col min="1" max="1" width="31.234375" style="31" customWidth="1"/>
    <col min="2" max="2" width="43.9375" style="31" customWidth="1"/>
    <col min="3" max="3" width="20.87890625" style="31" customWidth="1"/>
    <col min="4" max="4" width="27.8203125" style="31" customWidth="1"/>
    <col min="5" max="5" width="19.29296875" style="31" customWidth="1"/>
    <col min="6" max="6" width="25.87890625" style="31" customWidth="1"/>
    <col min="7" max="7" width="30.46875" style="32" customWidth="1"/>
    <col min="8" max="21" width="16.41015625" style="31" customWidth="1"/>
    <col min="22" max="22" width="14" style="31" customWidth="1"/>
    <col min="23" max="23" width="20" style="140" customWidth="1"/>
    <col min="24" max="24" width="10.87890625" style="31" hidden="1" customWidth="1"/>
    <col min="25" max="26" width="26.76171875" style="31" hidden="1" customWidth="1"/>
    <col min="27" max="27" width="0" style="31" hidden="1" customWidth="1"/>
    <col min="28" max="16384" width="10.3515625" style="31"/>
  </cols>
  <sheetData>
    <row r="1" spans="1:28" s="1" customFormat="1" ht="107.1" customHeight="1">
      <c r="A1" s="143" t="s">
        <v>0</v>
      </c>
      <c r="B1" s="143"/>
      <c r="C1" s="143"/>
      <c r="D1" s="143"/>
      <c r="E1" s="143"/>
      <c r="F1" s="143"/>
      <c r="G1" s="143"/>
      <c r="H1" s="143"/>
      <c r="I1" s="143"/>
      <c r="J1" s="143"/>
      <c r="K1" s="143"/>
      <c r="L1" s="143"/>
      <c r="M1" s="143"/>
      <c r="N1" s="143"/>
      <c r="O1" s="143"/>
      <c r="P1" s="143"/>
      <c r="Q1" s="143"/>
      <c r="R1" s="143"/>
      <c r="S1" s="143"/>
      <c r="T1" s="143"/>
      <c r="U1" s="143"/>
      <c r="V1" s="143"/>
      <c r="W1" s="134"/>
    </row>
    <row r="2" spans="1:28" s="1" customFormat="1" ht="47.35" customHeight="1" thickBot="1">
      <c r="A2" s="2"/>
      <c r="B2" s="3"/>
      <c r="C2" s="4"/>
      <c r="D2" s="5"/>
      <c r="E2" s="6"/>
      <c r="F2" s="2"/>
      <c r="G2" s="6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8"/>
      <c r="W2" s="134"/>
    </row>
    <row r="3" spans="1:28" s="127" customFormat="1" ht="49.45" customHeight="1">
      <c r="A3" s="38" t="s">
        <v>1</v>
      </c>
      <c r="B3" s="126"/>
      <c r="F3" s="39"/>
      <c r="G3" s="40"/>
      <c r="H3" s="41"/>
      <c r="I3" s="41"/>
      <c r="J3" s="41"/>
      <c r="K3" s="41"/>
      <c r="L3" s="41"/>
      <c r="M3" s="41"/>
      <c r="N3" s="41"/>
      <c r="O3" s="41"/>
      <c r="P3" s="41"/>
      <c r="Q3" s="41"/>
      <c r="R3" s="41"/>
      <c r="S3" s="41"/>
      <c r="T3" s="41"/>
      <c r="U3" s="41"/>
      <c r="V3" s="42"/>
      <c r="W3" s="135"/>
    </row>
    <row r="4" spans="1:28" s="127" customFormat="1" ht="49.45" customHeight="1">
      <c r="A4" s="38" t="s">
        <v>2</v>
      </c>
      <c r="B4" s="126" t="s">
        <v>63</v>
      </c>
      <c r="F4" s="39"/>
      <c r="G4" s="40"/>
      <c r="H4" s="144"/>
      <c r="I4" s="144"/>
      <c r="J4" s="144"/>
      <c r="K4" s="144"/>
      <c r="L4" s="144"/>
      <c r="M4" s="144"/>
      <c r="N4" s="144"/>
      <c r="O4" s="144"/>
      <c r="P4" s="144"/>
      <c r="Q4" s="144"/>
      <c r="R4" s="144"/>
      <c r="S4" s="144"/>
      <c r="T4" s="144"/>
      <c r="U4" s="144"/>
      <c r="V4" s="41"/>
      <c r="W4" s="135"/>
      <c r="AA4" s="130"/>
    </row>
    <row r="5" spans="1:28" s="128" customFormat="1" ht="49.45" customHeight="1">
      <c r="A5" s="43" t="s">
        <v>3</v>
      </c>
      <c r="B5" s="43" t="s">
        <v>55</v>
      </c>
      <c r="C5" s="44"/>
      <c r="D5" s="45"/>
      <c r="E5" s="45"/>
      <c r="G5" s="46"/>
      <c r="H5" s="47"/>
      <c r="I5" s="47"/>
      <c r="J5" s="47"/>
      <c r="K5" s="47"/>
      <c r="L5" s="47"/>
      <c r="M5" s="47"/>
      <c r="N5" s="47"/>
      <c r="O5" s="47"/>
      <c r="P5" s="47"/>
      <c r="Q5" s="47"/>
      <c r="R5" s="47"/>
      <c r="S5" s="47"/>
      <c r="T5" s="47"/>
      <c r="U5" s="47"/>
      <c r="V5" s="45"/>
      <c r="W5" s="134"/>
      <c r="AA5" s="131"/>
    </row>
    <row r="6" spans="1:28" s="128" customFormat="1" ht="49.45" customHeight="1" thickBot="1">
      <c r="A6" s="43" t="s">
        <v>4</v>
      </c>
      <c r="B6" s="43" t="s">
        <v>46</v>
      </c>
      <c r="C6" s="44"/>
      <c r="D6" s="45"/>
      <c r="E6" s="45"/>
      <c r="G6" s="48"/>
      <c r="H6" s="51" t="s">
        <v>56</v>
      </c>
      <c r="I6" s="50"/>
      <c r="J6" s="50"/>
      <c r="K6" s="49"/>
      <c r="L6" s="50"/>
      <c r="M6" s="50"/>
      <c r="N6" s="50"/>
      <c r="O6" s="50"/>
      <c r="P6" s="50"/>
      <c r="Q6" s="50"/>
      <c r="R6" s="50"/>
      <c r="S6" s="50"/>
      <c r="T6" s="50"/>
      <c r="U6" s="50"/>
      <c r="V6" s="45"/>
      <c r="W6" s="141">
        <v>0.65</v>
      </c>
      <c r="AA6" s="131"/>
    </row>
    <row r="7" spans="1:28" s="9" customFormat="1" ht="47" customHeight="1" thickBot="1">
      <c r="A7" s="145" t="s">
        <v>5</v>
      </c>
      <c r="B7" s="147" t="s">
        <v>6</v>
      </c>
      <c r="C7" s="149" t="s">
        <v>7</v>
      </c>
      <c r="D7" s="147" t="s">
        <v>8</v>
      </c>
      <c r="E7" s="147" t="s">
        <v>9</v>
      </c>
      <c r="F7" s="151" t="s">
        <v>10</v>
      </c>
      <c r="G7" s="153" t="s">
        <v>11</v>
      </c>
      <c r="H7" s="52">
        <v>21</v>
      </c>
      <c r="I7" s="52">
        <f t="shared" ref="I7:O7" si="0">H7+1</f>
        <v>22</v>
      </c>
      <c r="J7" s="52">
        <f t="shared" si="0"/>
        <v>23</v>
      </c>
      <c r="K7" s="52">
        <f t="shared" si="0"/>
        <v>24</v>
      </c>
      <c r="L7" s="52">
        <f t="shared" si="0"/>
        <v>25</v>
      </c>
      <c r="M7" s="52">
        <f t="shared" si="0"/>
        <v>26</v>
      </c>
      <c r="N7" s="52">
        <f t="shared" si="0"/>
        <v>27</v>
      </c>
      <c r="O7" s="52">
        <f t="shared" si="0"/>
        <v>28</v>
      </c>
      <c r="P7" s="52">
        <f>O7+1</f>
        <v>29</v>
      </c>
      <c r="Q7" s="52">
        <v>30</v>
      </c>
      <c r="R7" s="52">
        <v>1</v>
      </c>
      <c r="S7" s="52">
        <v>2</v>
      </c>
      <c r="T7" s="52">
        <v>3</v>
      </c>
      <c r="U7" s="52">
        <v>4</v>
      </c>
      <c r="V7" s="155" t="s">
        <v>12</v>
      </c>
      <c r="W7" s="142">
        <v>0.5</v>
      </c>
      <c r="AA7" s="132"/>
    </row>
    <row r="8" spans="1:28" s="9" customFormat="1" ht="47" customHeight="1" thickBot="1">
      <c r="A8" s="146"/>
      <c r="B8" s="148"/>
      <c r="C8" s="150"/>
      <c r="D8" s="148"/>
      <c r="E8" s="148"/>
      <c r="F8" s="152"/>
      <c r="G8" s="154"/>
      <c r="H8" s="53" t="s">
        <v>13</v>
      </c>
      <c r="I8" s="53" t="s">
        <v>14</v>
      </c>
      <c r="J8" s="53" t="s">
        <v>15</v>
      </c>
      <c r="K8" s="53" t="s">
        <v>16</v>
      </c>
      <c r="L8" s="53" t="s">
        <v>17</v>
      </c>
      <c r="M8" s="53" t="s">
        <v>18</v>
      </c>
      <c r="N8" s="53" t="s">
        <v>19</v>
      </c>
      <c r="O8" s="53" t="s">
        <v>13</v>
      </c>
      <c r="P8" s="53" t="s">
        <v>14</v>
      </c>
      <c r="Q8" s="53" t="s">
        <v>15</v>
      </c>
      <c r="R8" s="53" t="s">
        <v>16</v>
      </c>
      <c r="S8" s="53" t="s">
        <v>17</v>
      </c>
      <c r="T8" s="53" t="s">
        <v>18</v>
      </c>
      <c r="U8" s="53" t="s">
        <v>19</v>
      </c>
      <c r="V8" s="156"/>
      <c r="W8" s="136" t="s">
        <v>53</v>
      </c>
      <c r="X8" s="9" t="s">
        <v>20</v>
      </c>
      <c r="Y8" s="10" t="s">
        <v>21</v>
      </c>
      <c r="Z8" s="11" t="s">
        <v>22</v>
      </c>
      <c r="AA8" s="131"/>
      <c r="AB8" s="12"/>
    </row>
    <row r="9" spans="1:28" s="13" customFormat="1" ht="54" customHeight="1">
      <c r="A9" s="157" t="s">
        <v>47</v>
      </c>
      <c r="B9" s="54" t="s">
        <v>48</v>
      </c>
      <c r="C9" s="55" t="s">
        <v>50</v>
      </c>
      <c r="D9" s="129" t="s">
        <v>38</v>
      </c>
      <c r="E9" s="159" t="str">
        <f>B4</f>
        <v>10秒</v>
      </c>
      <c r="F9" s="56">
        <f>300000/420*V9*W6</f>
        <v>91000</v>
      </c>
      <c r="G9" s="161">
        <v>200000</v>
      </c>
      <c r="H9" s="57">
        <v>14</v>
      </c>
      <c r="I9" s="58">
        <f t="shared" ref="I9:U11" si="1">H9</f>
        <v>14</v>
      </c>
      <c r="J9" s="58">
        <f>I9</f>
        <v>14</v>
      </c>
      <c r="K9" s="58">
        <f t="shared" si="1"/>
        <v>14</v>
      </c>
      <c r="L9" s="58">
        <f>K9</f>
        <v>14</v>
      </c>
      <c r="M9" s="58">
        <f t="shared" si="1"/>
        <v>14</v>
      </c>
      <c r="N9" s="58">
        <f>M9</f>
        <v>14</v>
      </c>
      <c r="O9" s="58">
        <f>N9</f>
        <v>14</v>
      </c>
      <c r="P9" s="58">
        <f>O9</f>
        <v>14</v>
      </c>
      <c r="Q9" s="58">
        <f>P9</f>
        <v>14</v>
      </c>
      <c r="R9" s="58">
        <f>Q9</f>
        <v>14</v>
      </c>
      <c r="S9" s="58">
        <f>P9</f>
        <v>14</v>
      </c>
      <c r="T9" s="58">
        <f t="shared" si="1"/>
        <v>14</v>
      </c>
      <c r="U9" s="58">
        <f t="shared" si="1"/>
        <v>14</v>
      </c>
      <c r="V9" s="59">
        <f t="shared" ref="V9:V16" si="2">SUM(H9:U9)</f>
        <v>196</v>
      </c>
      <c r="W9" s="137">
        <f>250000/420*W6*V9</f>
        <v>75833.333333333328</v>
      </c>
      <c r="X9" s="14" t="s">
        <v>23</v>
      </c>
      <c r="Y9" s="15" t="e">
        <f>C9*V9</f>
        <v>#VALUE!</v>
      </c>
      <c r="Z9" s="15" t="e">
        <f>C9*1000/24/6*V9</f>
        <v>#VALUE!</v>
      </c>
      <c r="AA9" s="12"/>
      <c r="AB9" s="12"/>
    </row>
    <row r="10" spans="1:28" s="13" customFormat="1" ht="54" customHeight="1" thickBot="1">
      <c r="A10" s="158"/>
      <c r="B10" s="60" t="s">
        <v>49</v>
      </c>
      <c r="C10" s="61" t="s">
        <v>51</v>
      </c>
      <c r="D10" s="133" t="s">
        <v>39</v>
      </c>
      <c r="E10" s="160"/>
      <c r="F10" s="62" t="s">
        <v>40</v>
      </c>
      <c r="G10" s="162"/>
      <c r="H10" s="63">
        <v>24</v>
      </c>
      <c r="I10" s="64">
        <f>H10</f>
        <v>24</v>
      </c>
      <c r="J10" s="64">
        <f t="shared" si="1"/>
        <v>24</v>
      </c>
      <c r="K10" s="64">
        <f t="shared" si="1"/>
        <v>24</v>
      </c>
      <c r="L10" s="64">
        <f t="shared" si="1"/>
        <v>24</v>
      </c>
      <c r="M10" s="64">
        <f t="shared" si="1"/>
        <v>24</v>
      </c>
      <c r="N10" s="64">
        <f>M10</f>
        <v>24</v>
      </c>
      <c r="O10" s="64">
        <f t="shared" si="1"/>
        <v>24</v>
      </c>
      <c r="P10" s="64">
        <f t="shared" ref="P10:R11" si="3">O10</f>
        <v>24</v>
      </c>
      <c r="Q10" s="64">
        <f t="shared" si="3"/>
        <v>24</v>
      </c>
      <c r="R10" s="64">
        <f t="shared" si="3"/>
        <v>24</v>
      </c>
      <c r="S10" s="64">
        <f t="shared" ref="S10" si="4">P10</f>
        <v>24</v>
      </c>
      <c r="T10" s="64">
        <f t="shared" si="1"/>
        <v>24</v>
      </c>
      <c r="U10" s="64">
        <f>T10</f>
        <v>24</v>
      </c>
      <c r="V10" s="65">
        <f t="shared" si="2"/>
        <v>336</v>
      </c>
      <c r="W10" s="137"/>
      <c r="X10" s="16" t="s">
        <v>24</v>
      </c>
      <c r="Y10" s="15" t="e">
        <f>C10*V10</f>
        <v>#VALUE!</v>
      </c>
      <c r="Z10" s="15" t="e">
        <f>C10*1000/24/6*V10</f>
        <v>#VALUE!</v>
      </c>
      <c r="AA10" s="12"/>
      <c r="AB10" s="12"/>
    </row>
    <row r="11" spans="1:28" s="13" customFormat="1" ht="54" customHeight="1" thickBot="1">
      <c r="A11" s="164" t="s">
        <v>25</v>
      </c>
      <c r="B11" s="66" t="s">
        <v>67</v>
      </c>
      <c r="C11" s="67">
        <v>1673</v>
      </c>
      <c r="D11" s="182" t="s">
        <v>66</v>
      </c>
      <c r="E11" s="172" t="str">
        <f>B4</f>
        <v>10秒</v>
      </c>
      <c r="F11" s="68">
        <f>250000/480*V11*W7</f>
        <v>94791.666666666672</v>
      </c>
      <c r="G11" s="162"/>
      <c r="H11" s="69">
        <v>26</v>
      </c>
      <c r="I11" s="70">
        <f>H11</f>
        <v>26</v>
      </c>
      <c r="J11" s="70">
        <f t="shared" si="1"/>
        <v>26</v>
      </c>
      <c r="K11" s="70">
        <f t="shared" si="1"/>
        <v>26</v>
      </c>
      <c r="L11" s="70">
        <f t="shared" si="1"/>
        <v>26</v>
      </c>
      <c r="M11" s="70">
        <f t="shared" si="1"/>
        <v>26</v>
      </c>
      <c r="N11" s="70">
        <f t="shared" si="1"/>
        <v>26</v>
      </c>
      <c r="O11" s="70">
        <f t="shared" si="1"/>
        <v>26</v>
      </c>
      <c r="P11" s="70">
        <f t="shared" si="3"/>
        <v>26</v>
      </c>
      <c r="Q11" s="70">
        <f t="shared" si="3"/>
        <v>26</v>
      </c>
      <c r="R11" s="70">
        <f t="shared" si="3"/>
        <v>26</v>
      </c>
      <c r="S11" s="70">
        <f>R11</f>
        <v>26</v>
      </c>
      <c r="T11" s="70">
        <f t="shared" si="1"/>
        <v>26</v>
      </c>
      <c r="U11" s="70">
        <f t="shared" si="1"/>
        <v>26</v>
      </c>
      <c r="V11" s="71">
        <f t="shared" si="2"/>
        <v>364</v>
      </c>
      <c r="W11" s="137">
        <f>320000/480*W7*V11</f>
        <v>121333.33333333333</v>
      </c>
      <c r="X11" s="33" t="s">
        <v>26</v>
      </c>
      <c r="Y11" s="34">
        <f t="shared" ref="Y11:Y16" si="5">V11*C11</f>
        <v>608972</v>
      </c>
      <c r="Z11" s="35">
        <f t="shared" ref="Z11:Z16" si="6">1000*(C11/24/6)*V11</f>
        <v>4228972.222222222</v>
      </c>
    </row>
    <row r="12" spans="1:28" s="13" customFormat="1" ht="54" customHeight="1" thickBot="1">
      <c r="A12" s="165"/>
      <c r="B12" s="60" t="s">
        <v>27</v>
      </c>
      <c r="C12" s="72">
        <v>788</v>
      </c>
      <c r="D12" s="169"/>
      <c r="E12" s="160"/>
      <c r="F12" s="62">
        <f>150000/480*V12*W7</f>
        <v>56875</v>
      </c>
      <c r="G12" s="162"/>
      <c r="H12" s="63">
        <f>H11</f>
        <v>26</v>
      </c>
      <c r="I12" s="64">
        <f>I11</f>
        <v>26</v>
      </c>
      <c r="J12" s="64">
        <f t="shared" ref="J12:U12" si="7">J11</f>
        <v>26</v>
      </c>
      <c r="K12" s="64">
        <f t="shared" si="7"/>
        <v>26</v>
      </c>
      <c r="L12" s="64">
        <f t="shared" si="7"/>
        <v>26</v>
      </c>
      <c r="M12" s="64">
        <f t="shared" si="7"/>
        <v>26</v>
      </c>
      <c r="N12" s="64">
        <f t="shared" si="7"/>
        <v>26</v>
      </c>
      <c r="O12" s="64">
        <f t="shared" si="7"/>
        <v>26</v>
      </c>
      <c r="P12" s="64">
        <f t="shared" si="7"/>
        <v>26</v>
      </c>
      <c r="Q12" s="64">
        <f>Q11</f>
        <v>26</v>
      </c>
      <c r="R12" s="64">
        <f>R11</f>
        <v>26</v>
      </c>
      <c r="S12" s="64">
        <f t="shared" si="7"/>
        <v>26</v>
      </c>
      <c r="T12" s="64">
        <f t="shared" si="7"/>
        <v>26</v>
      </c>
      <c r="U12" s="64">
        <f t="shared" si="7"/>
        <v>26</v>
      </c>
      <c r="V12" s="65">
        <f t="shared" si="2"/>
        <v>364</v>
      </c>
      <c r="W12" s="137"/>
      <c r="X12" s="33" t="s">
        <v>26</v>
      </c>
      <c r="Y12" s="34">
        <f t="shared" si="5"/>
        <v>286832</v>
      </c>
      <c r="Z12" s="35">
        <f t="shared" si="6"/>
        <v>1991888.888888889</v>
      </c>
    </row>
    <row r="13" spans="1:28" s="13" customFormat="1" ht="54" customHeight="1" thickBot="1">
      <c r="A13" s="165"/>
      <c r="B13" s="60" t="s">
        <v>42</v>
      </c>
      <c r="C13" s="72">
        <v>850</v>
      </c>
      <c r="D13" s="169"/>
      <c r="E13" s="160"/>
      <c r="F13" s="62">
        <f>150000/480*V13*W7</f>
        <v>56875</v>
      </c>
      <c r="G13" s="162"/>
      <c r="H13" s="63">
        <f>H11</f>
        <v>26</v>
      </c>
      <c r="I13" s="64">
        <f>I11</f>
        <v>26</v>
      </c>
      <c r="J13" s="64">
        <f t="shared" ref="J13:U13" si="8">J11</f>
        <v>26</v>
      </c>
      <c r="K13" s="64">
        <f t="shared" si="8"/>
        <v>26</v>
      </c>
      <c r="L13" s="64">
        <f t="shared" si="8"/>
        <v>26</v>
      </c>
      <c r="M13" s="64">
        <f t="shared" si="8"/>
        <v>26</v>
      </c>
      <c r="N13" s="64">
        <f t="shared" si="8"/>
        <v>26</v>
      </c>
      <c r="O13" s="64">
        <f t="shared" si="8"/>
        <v>26</v>
      </c>
      <c r="P13" s="64">
        <f t="shared" si="8"/>
        <v>26</v>
      </c>
      <c r="Q13" s="64">
        <f>Q11</f>
        <v>26</v>
      </c>
      <c r="R13" s="64">
        <f>R11</f>
        <v>26</v>
      </c>
      <c r="S13" s="64">
        <f t="shared" si="8"/>
        <v>26</v>
      </c>
      <c r="T13" s="64">
        <f t="shared" si="8"/>
        <v>26</v>
      </c>
      <c r="U13" s="64">
        <f t="shared" si="8"/>
        <v>26</v>
      </c>
      <c r="V13" s="65">
        <f t="shared" si="2"/>
        <v>364</v>
      </c>
      <c r="W13" s="137"/>
      <c r="X13" s="33" t="s">
        <v>26</v>
      </c>
      <c r="Y13" s="34">
        <f t="shared" si="5"/>
        <v>309400</v>
      </c>
      <c r="Z13" s="35">
        <f t="shared" si="6"/>
        <v>2148611.111111111</v>
      </c>
    </row>
    <row r="14" spans="1:28" s="13" customFormat="1" ht="54" customHeight="1" thickBot="1">
      <c r="A14" s="166"/>
      <c r="B14" s="60" t="s">
        <v>44</v>
      </c>
      <c r="C14" s="72">
        <v>501</v>
      </c>
      <c r="D14" s="170"/>
      <c r="E14" s="173"/>
      <c r="F14" s="62">
        <f>100000/480*V14*W7</f>
        <v>37916.666666666672</v>
      </c>
      <c r="G14" s="162"/>
      <c r="H14" s="63">
        <f t="shared" ref="H14:U15" si="9">H11</f>
        <v>26</v>
      </c>
      <c r="I14" s="64">
        <f t="shared" si="9"/>
        <v>26</v>
      </c>
      <c r="J14" s="64">
        <f t="shared" si="9"/>
        <v>26</v>
      </c>
      <c r="K14" s="64">
        <f t="shared" si="9"/>
        <v>26</v>
      </c>
      <c r="L14" s="64">
        <f t="shared" si="9"/>
        <v>26</v>
      </c>
      <c r="M14" s="64">
        <f t="shared" si="9"/>
        <v>26</v>
      </c>
      <c r="N14" s="64">
        <f t="shared" si="9"/>
        <v>26</v>
      </c>
      <c r="O14" s="64">
        <f t="shared" si="9"/>
        <v>26</v>
      </c>
      <c r="P14" s="64">
        <f t="shared" si="9"/>
        <v>26</v>
      </c>
      <c r="Q14" s="64">
        <f>Q11</f>
        <v>26</v>
      </c>
      <c r="R14" s="64">
        <f>R11</f>
        <v>26</v>
      </c>
      <c r="S14" s="64">
        <f t="shared" si="9"/>
        <v>26</v>
      </c>
      <c r="T14" s="64">
        <f t="shared" si="9"/>
        <v>26</v>
      </c>
      <c r="U14" s="64">
        <f t="shared" si="9"/>
        <v>26</v>
      </c>
      <c r="V14" s="65">
        <f t="shared" si="2"/>
        <v>364</v>
      </c>
      <c r="W14" s="137"/>
      <c r="X14" s="33" t="s">
        <v>26</v>
      </c>
      <c r="Y14" s="34">
        <f t="shared" si="5"/>
        <v>182364</v>
      </c>
      <c r="Z14" s="35">
        <f t="shared" si="6"/>
        <v>1266416.6666666665</v>
      </c>
    </row>
    <row r="15" spans="1:28" s="13" customFormat="1" ht="54" customHeight="1" thickBot="1">
      <c r="A15" s="166"/>
      <c r="B15" s="60" t="s">
        <v>43</v>
      </c>
      <c r="C15" s="72">
        <v>503</v>
      </c>
      <c r="D15" s="170"/>
      <c r="E15" s="173"/>
      <c r="F15" s="62">
        <f>100000/480*V15*W7</f>
        <v>37916.666666666672</v>
      </c>
      <c r="G15" s="162"/>
      <c r="H15" s="63">
        <f t="shared" si="9"/>
        <v>26</v>
      </c>
      <c r="I15" s="64">
        <f t="shared" si="9"/>
        <v>26</v>
      </c>
      <c r="J15" s="64">
        <f t="shared" si="9"/>
        <v>26</v>
      </c>
      <c r="K15" s="64">
        <f t="shared" si="9"/>
        <v>26</v>
      </c>
      <c r="L15" s="64">
        <f t="shared" si="9"/>
        <v>26</v>
      </c>
      <c r="M15" s="64">
        <f t="shared" si="9"/>
        <v>26</v>
      </c>
      <c r="N15" s="64">
        <f t="shared" si="9"/>
        <v>26</v>
      </c>
      <c r="O15" s="64">
        <f t="shared" si="9"/>
        <v>26</v>
      </c>
      <c r="P15" s="64">
        <f t="shared" si="9"/>
        <v>26</v>
      </c>
      <c r="Q15" s="64">
        <f>Q11</f>
        <v>26</v>
      </c>
      <c r="R15" s="64">
        <f>R11</f>
        <v>26</v>
      </c>
      <c r="S15" s="64">
        <f t="shared" si="9"/>
        <v>26</v>
      </c>
      <c r="T15" s="64">
        <f t="shared" si="9"/>
        <v>26</v>
      </c>
      <c r="U15" s="64">
        <f t="shared" si="9"/>
        <v>26</v>
      </c>
      <c r="V15" s="65">
        <f t="shared" si="2"/>
        <v>364</v>
      </c>
      <c r="W15" s="137"/>
      <c r="X15" s="33" t="s">
        <v>26</v>
      </c>
      <c r="Y15" s="34">
        <f t="shared" si="5"/>
        <v>183092</v>
      </c>
      <c r="Z15" s="35">
        <f t="shared" si="6"/>
        <v>1271472.222222222</v>
      </c>
    </row>
    <row r="16" spans="1:28" s="36" customFormat="1" ht="54" customHeight="1" thickBot="1">
      <c r="A16" s="167"/>
      <c r="B16" s="73" t="s">
        <v>45</v>
      </c>
      <c r="C16" s="74">
        <v>182</v>
      </c>
      <c r="D16" s="171"/>
      <c r="E16" s="174"/>
      <c r="F16" s="75">
        <f>62500/480*V16*W7</f>
        <v>23697.916666666668</v>
      </c>
      <c r="G16" s="163"/>
      <c r="H16" s="76">
        <f>H11</f>
        <v>26</v>
      </c>
      <c r="I16" s="77">
        <f>I11</f>
        <v>26</v>
      </c>
      <c r="J16" s="77">
        <f t="shared" ref="J16:U16" si="10">J11</f>
        <v>26</v>
      </c>
      <c r="K16" s="77">
        <f t="shared" si="10"/>
        <v>26</v>
      </c>
      <c r="L16" s="77">
        <f t="shared" si="10"/>
        <v>26</v>
      </c>
      <c r="M16" s="77">
        <f t="shared" si="10"/>
        <v>26</v>
      </c>
      <c r="N16" s="77">
        <f t="shared" si="10"/>
        <v>26</v>
      </c>
      <c r="O16" s="77">
        <f t="shared" si="10"/>
        <v>26</v>
      </c>
      <c r="P16" s="77">
        <f t="shared" si="10"/>
        <v>26</v>
      </c>
      <c r="Q16" s="77">
        <f>Q11</f>
        <v>26</v>
      </c>
      <c r="R16" s="77">
        <f>R11</f>
        <v>26</v>
      </c>
      <c r="S16" s="77">
        <f t="shared" si="10"/>
        <v>26</v>
      </c>
      <c r="T16" s="77">
        <f t="shared" si="10"/>
        <v>26</v>
      </c>
      <c r="U16" s="77">
        <f t="shared" si="10"/>
        <v>26</v>
      </c>
      <c r="V16" s="78">
        <f t="shared" si="2"/>
        <v>364</v>
      </c>
      <c r="W16" s="137"/>
      <c r="X16" s="33" t="s">
        <v>26</v>
      </c>
      <c r="Y16" s="34">
        <f t="shared" si="5"/>
        <v>66248</v>
      </c>
      <c r="Z16" s="35">
        <f t="shared" si="6"/>
        <v>460055.55555555556</v>
      </c>
      <c r="AA16" s="37"/>
      <c r="AB16" s="37"/>
    </row>
    <row r="17" spans="1:26" s="17" customFormat="1" ht="52" customHeight="1" thickBot="1">
      <c r="A17" s="177"/>
      <c r="B17" s="178"/>
      <c r="C17" s="79"/>
      <c r="D17" s="80"/>
      <c r="E17" s="81" t="s">
        <v>28</v>
      </c>
      <c r="F17" s="82">
        <f>SUM(F9:F16)</f>
        <v>399072.91666666674</v>
      </c>
      <c r="G17" s="83">
        <f>SUM(G9:G13)</f>
        <v>200000</v>
      </c>
      <c r="H17" s="84">
        <f t="shared" ref="H17:U17" si="11">SUM(H9:H16)</f>
        <v>194</v>
      </c>
      <c r="I17" s="84">
        <f t="shared" si="11"/>
        <v>194</v>
      </c>
      <c r="J17" s="84">
        <f t="shared" si="11"/>
        <v>194</v>
      </c>
      <c r="K17" s="84">
        <f t="shared" si="11"/>
        <v>194</v>
      </c>
      <c r="L17" s="84">
        <f t="shared" si="11"/>
        <v>194</v>
      </c>
      <c r="M17" s="84">
        <f t="shared" si="11"/>
        <v>194</v>
      </c>
      <c r="N17" s="84">
        <f t="shared" si="11"/>
        <v>194</v>
      </c>
      <c r="O17" s="84">
        <f t="shared" si="11"/>
        <v>194</v>
      </c>
      <c r="P17" s="84">
        <f t="shared" si="11"/>
        <v>194</v>
      </c>
      <c r="Q17" s="84">
        <f t="shared" si="11"/>
        <v>194</v>
      </c>
      <c r="R17" s="84">
        <f t="shared" si="11"/>
        <v>194</v>
      </c>
      <c r="S17" s="84">
        <f t="shared" si="11"/>
        <v>194</v>
      </c>
      <c r="T17" s="84">
        <f t="shared" si="11"/>
        <v>194</v>
      </c>
      <c r="U17" s="84">
        <f t="shared" si="11"/>
        <v>194</v>
      </c>
      <c r="V17" s="85">
        <f>SUM(V7:V16)</f>
        <v>2716</v>
      </c>
      <c r="W17" s="138">
        <f>SUM(W9:W16)</f>
        <v>197166.66666666666</v>
      </c>
      <c r="Y17" s="18"/>
      <c r="Z17" s="18"/>
    </row>
    <row r="18" spans="1:26" s="20" customFormat="1" ht="43.7" customHeight="1">
      <c r="A18" s="19"/>
      <c r="B18" s="86"/>
      <c r="C18" s="86"/>
      <c r="D18" s="86"/>
      <c r="E18" s="87"/>
      <c r="F18" s="88" t="s">
        <v>29</v>
      </c>
      <c r="G18" s="89">
        <v>0</v>
      </c>
      <c r="H18" s="90"/>
      <c r="I18" s="90"/>
      <c r="J18" s="90"/>
      <c r="K18" s="90"/>
      <c r="L18" s="90"/>
      <c r="M18" s="90"/>
      <c r="N18" s="90"/>
      <c r="O18" s="90"/>
      <c r="P18" s="90"/>
      <c r="Q18" s="90"/>
      <c r="R18" s="90"/>
      <c r="S18" s="90"/>
      <c r="T18" s="90"/>
      <c r="U18" s="90"/>
      <c r="V18" s="91"/>
      <c r="W18" s="139"/>
      <c r="Y18" s="21"/>
      <c r="Z18" s="21"/>
    </row>
    <row r="19" spans="1:26" s="20" customFormat="1" ht="43.7" customHeight="1">
      <c r="A19" s="22"/>
      <c r="B19" s="92"/>
      <c r="C19" s="92"/>
      <c r="D19" s="92"/>
      <c r="E19" s="93"/>
      <c r="F19" s="94" t="s">
        <v>30</v>
      </c>
      <c r="G19" s="95">
        <f>SUM(G17:G18)*5%</f>
        <v>10000</v>
      </c>
      <c r="H19" s="90"/>
      <c r="I19" s="90"/>
      <c r="J19" s="90"/>
      <c r="K19" s="90"/>
      <c r="L19" s="90"/>
      <c r="M19" s="90"/>
      <c r="N19" s="90"/>
      <c r="O19" s="90"/>
      <c r="P19" s="90"/>
      <c r="Q19" s="90"/>
      <c r="R19" s="90"/>
      <c r="S19" s="90"/>
      <c r="T19" s="90"/>
      <c r="U19" s="90"/>
      <c r="V19" s="91"/>
      <c r="W19" s="139"/>
      <c r="Y19" s="18"/>
      <c r="Z19" s="18"/>
    </row>
    <row r="20" spans="1:26" s="23" customFormat="1" ht="43.7" customHeight="1" thickBot="1">
      <c r="A20" s="96"/>
      <c r="B20" s="97"/>
      <c r="C20" s="97"/>
      <c r="D20" s="97"/>
      <c r="E20" s="98"/>
      <c r="F20" s="99" t="s">
        <v>31</v>
      </c>
      <c r="G20" s="100">
        <f>SUM(G17:G19)</f>
        <v>210000</v>
      </c>
      <c r="H20" s="101"/>
      <c r="I20" s="101"/>
      <c r="J20" s="101"/>
      <c r="K20" s="101"/>
      <c r="L20" s="101"/>
      <c r="M20" s="101"/>
      <c r="N20" s="101"/>
      <c r="O20" s="101"/>
      <c r="P20" s="101"/>
      <c r="Q20" s="101"/>
      <c r="R20" s="101"/>
      <c r="S20" s="101"/>
      <c r="T20" s="101"/>
      <c r="U20" s="101"/>
      <c r="V20" s="102"/>
      <c r="W20" s="137"/>
      <c r="Y20" s="24" t="e">
        <f>SUM(Y9:Y18)</f>
        <v>#VALUE!</v>
      </c>
      <c r="Z20" s="24" t="e">
        <f>SUM(Z9:Z18)</f>
        <v>#VALUE!</v>
      </c>
    </row>
    <row r="21" spans="1:26" s="103" customFormat="1" ht="46.35" customHeight="1">
      <c r="A21" s="103" t="s">
        <v>32</v>
      </c>
      <c r="B21" s="104"/>
      <c r="C21" s="104"/>
      <c r="D21" s="104"/>
      <c r="E21" s="105"/>
      <c r="F21" s="106"/>
      <c r="G21" s="106"/>
      <c r="H21" s="106"/>
      <c r="I21" s="106"/>
      <c r="J21" s="106"/>
      <c r="K21" s="106"/>
      <c r="L21" s="107"/>
      <c r="M21" s="107"/>
      <c r="N21" s="107"/>
      <c r="O21" s="107"/>
      <c r="P21" s="107"/>
      <c r="Q21" s="107"/>
      <c r="R21" s="107"/>
      <c r="S21" s="107"/>
      <c r="T21" s="107"/>
      <c r="U21" s="107"/>
      <c r="W21" s="137"/>
    </row>
    <row r="22" spans="1:26" s="112" customFormat="1" ht="41.45" customHeight="1">
      <c r="A22" s="108" t="s">
        <v>57</v>
      </c>
      <c r="B22" s="104"/>
      <c r="C22" s="104"/>
      <c r="D22" s="104"/>
      <c r="E22" s="105"/>
      <c r="F22" s="109"/>
      <c r="G22" s="109"/>
      <c r="H22" s="109"/>
      <c r="I22" s="109"/>
      <c r="J22" s="109"/>
      <c r="K22" s="109"/>
      <c r="L22" s="110"/>
      <c r="M22" s="110"/>
      <c r="N22" s="110"/>
      <c r="O22" s="110"/>
      <c r="P22" s="110"/>
      <c r="Q22" s="110"/>
      <c r="R22" s="110"/>
      <c r="S22" s="110"/>
      <c r="T22" s="110"/>
      <c r="U22" s="110"/>
      <c r="V22" s="111"/>
      <c r="W22" s="134"/>
    </row>
    <row r="23" spans="1:26" s="112" customFormat="1" ht="41.45" customHeight="1">
      <c r="A23" s="113" t="s">
        <v>33</v>
      </c>
      <c r="B23" s="104"/>
      <c r="C23" s="104"/>
      <c r="D23" s="105"/>
      <c r="E23" s="114"/>
      <c r="F23" s="115"/>
      <c r="G23" s="115"/>
      <c r="H23" s="115"/>
      <c r="I23" s="115"/>
      <c r="J23" s="115"/>
      <c r="K23" s="115"/>
      <c r="L23" s="110"/>
      <c r="M23" s="110"/>
      <c r="N23" s="110"/>
      <c r="O23" s="110"/>
      <c r="P23" s="110"/>
      <c r="Q23" s="110"/>
      <c r="R23" s="110"/>
      <c r="S23" s="110"/>
      <c r="T23" s="110"/>
      <c r="U23" s="110"/>
      <c r="V23" s="111"/>
      <c r="W23" s="134"/>
    </row>
    <row r="24" spans="1:26" s="112" customFormat="1" ht="41.45" customHeight="1">
      <c r="A24" s="113" t="s">
        <v>34</v>
      </c>
      <c r="B24" s="104"/>
      <c r="C24" s="104"/>
      <c r="D24" s="105"/>
      <c r="E24" s="114"/>
      <c r="F24" s="115"/>
      <c r="G24" s="116"/>
      <c r="I24" s="117"/>
      <c r="J24" s="117"/>
      <c r="K24" s="117"/>
      <c r="L24" s="117"/>
      <c r="M24" s="117"/>
      <c r="N24" s="117"/>
      <c r="O24" s="117"/>
      <c r="P24" s="117"/>
      <c r="Q24" s="117"/>
      <c r="R24" s="117"/>
      <c r="S24" s="117"/>
      <c r="T24" s="117"/>
      <c r="U24" s="117"/>
      <c r="V24" s="111"/>
      <c r="W24" s="134"/>
    </row>
    <row r="25" spans="1:26" s="112" customFormat="1" ht="41.45" customHeight="1">
      <c r="A25" s="108" t="s">
        <v>41</v>
      </c>
      <c r="B25" s="104"/>
      <c r="C25" s="104"/>
      <c r="D25" s="105"/>
      <c r="E25" s="114"/>
      <c r="F25" s="118"/>
      <c r="G25" s="119"/>
      <c r="I25" s="117"/>
      <c r="J25" s="117"/>
      <c r="K25" s="117"/>
      <c r="L25" s="117"/>
      <c r="M25" s="117"/>
      <c r="N25" s="117"/>
      <c r="O25" s="117"/>
      <c r="P25" s="117"/>
      <c r="Q25" s="117"/>
      <c r="R25" s="117"/>
      <c r="S25" s="117"/>
      <c r="T25" s="117"/>
      <c r="U25" s="117"/>
      <c r="V25" s="111"/>
      <c r="W25" s="134"/>
    </row>
    <row r="26" spans="1:26" s="112" customFormat="1" ht="41.45" customHeight="1">
      <c r="A26" s="113" t="s">
        <v>58</v>
      </c>
      <c r="B26" s="120"/>
      <c r="C26" s="120"/>
      <c r="D26" s="121"/>
      <c r="E26" s="117"/>
      <c r="F26" s="117"/>
      <c r="G26" s="114"/>
      <c r="H26" s="117"/>
      <c r="I26" s="117"/>
      <c r="J26" s="117"/>
      <c r="K26" s="117"/>
      <c r="L26" s="117"/>
      <c r="M26" s="117"/>
      <c r="N26" s="117"/>
      <c r="O26" s="117"/>
      <c r="P26" s="117"/>
      <c r="Q26" s="117"/>
      <c r="R26" s="117"/>
      <c r="S26" s="117"/>
      <c r="T26" s="117"/>
      <c r="U26" s="117"/>
      <c r="V26" s="111"/>
      <c r="W26" s="134"/>
    </row>
    <row r="27" spans="1:26" s="112" customFormat="1" ht="41.45" customHeight="1">
      <c r="A27" s="113" t="s">
        <v>59</v>
      </c>
      <c r="B27" s="120"/>
      <c r="C27" s="120"/>
      <c r="D27" s="121"/>
      <c r="E27" s="117"/>
      <c r="F27" s="117"/>
      <c r="G27" s="114"/>
      <c r="H27" s="117"/>
      <c r="I27" s="117"/>
      <c r="J27" s="117"/>
      <c r="K27" s="117"/>
      <c r="L27" s="117"/>
      <c r="M27" s="117"/>
      <c r="N27" s="117"/>
      <c r="O27" s="117"/>
      <c r="P27" s="117"/>
      <c r="Q27" s="117"/>
      <c r="R27" s="117"/>
      <c r="S27" s="117"/>
      <c r="T27" s="117"/>
      <c r="U27" s="117"/>
      <c r="V27" s="111"/>
      <c r="W27" s="134"/>
    </row>
    <row r="28" spans="1:26" s="30" customFormat="1" ht="11.7" customHeight="1">
      <c r="A28" s="25"/>
      <c r="B28" s="26"/>
      <c r="C28" s="26"/>
      <c r="D28" s="27"/>
      <c r="E28" s="28"/>
      <c r="F28" s="28"/>
      <c r="G28" s="29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134"/>
    </row>
    <row r="29" spans="1:26" s="112" customFormat="1" ht="41.45" customHeight="1">
      <c r="A29" s="179" t="s">
        <v>60</v>
      </c>
      <c r="B29" s="179"/>
      <c r="C29" s="179"/>
      <c r="D29" s="122"/>
      <c r="E29" s="122"/>
      <c r="F29" s="122"/>
      <c r="G29" s="122"/>
      <c r="H29" s="123"/>
      <c r="I29" s="180" t="s">
        <v>35</v>
      </c>
      <c r="J29" s="180"/>
      <c r="K29" s="180"/>
      <c r="L29" s="181">
        <f>B3</f>
        <v>0</v>
      </c>
      <c r="M29" s="181"/>
      <c r="N29" s="181"/>
      <c r="O29" s="181"/>
      <c r="P29" s="124"/>
      <c r="Q29" s="124"/>
      <c r="R29" s="124"/>
      <c r="S29" s="124"/>
      <c r="T29" s="124"/>
      <c r="U29" s="124"/>
      <c r="W29" s="134"/>
    </row>
    <row r="30" spans="1:26" s="125" customFormat="1" ht="41.45" customHeight="1">
      <c r="A30" s="179" t="s">
        <v>61</v>
      </c>
      <c r="B30" s="179"/>
      <c r="C30" s="179"/>
      <c r="D30" s="122"/>
      <c r="E30" s="122"/>
      <c r="F30" s="122"/>
      <c r="G30" s="122"/>
      <c r="H30" s="124"/>
      <c r="I30" s="176" t="s">
        <v>36</v>
      </c>
      <c r="J30" s="176"/>
      <c r="K30" s="176"/>
      <c r="L30" s="176"/>
      <c r="M30" s="176"/>
      <c r="N30" s="176"/>
      <c r="W30" s="140"/>
    </row>
    <row r="31" spans="1:26" s="125" customFormat="1" ht="41.45" customHeight="1">
      <c r="A31" s="175" t="s">
        <v>62</v>
      </c>
      <c r="B31" s="175"/>
      <c r="C31" s="175"/>
      <c r="D31" s="123"/>
      <c r="E31" s="123"/>
      <c r="F31" s="123"/>
      <c r="G31" s="123"/>
      <c r="H31" s="124"/>
      <c r="I31" s="176" t="s">
        <v>37</v>
      </c>
      <c r="J31" s="176"/>
      <c r="K31" s="176"/>
      <c r="L31" s="176"/>
      <c r="M31" s="176"/>
      <c r="N31" s="176"/>
      <c r="O31" s="124"/>
      <c r="P31" s="124"/>
      <c r="Q31" s="124"/>
      <c r="R31" s="124"/>
      <c r="S31" s="124"/>
      <c r="T31" s="124"/>
      <c r="U31" s="124"/>
      <c r="W31" s="140"/>
    </row>
    <row r="32" spans="1:26">
      <c r="G32" s="31"/>
    </row>
  </sheetData>
  <mergeCells count="24">
    <mergeCell ref="A31:C31"/>
    <mergeCell ref="I31:N31"/>
    <mergeCell ref="A17:B17"/>
    <mergeCell ref="A29:C29"/>
    <mergeCell ref="I29:K29"/>
    <mergeCell ref="L29:O29"/>
    <mergeCell ref="A30:C30"/>
    <mergeCell ref="I30:N30"/>
    <mergeCell ref="A9:A10"/>
    <mergeCell ref="E9:E10"/>
    <mergeCell ref="G9:G16"/>
    <mergeCell ref="A11:A16"/>
    <mergeCell ref="D11:D16"/>
    <mergeCell ref="E11:E16"/>
    <mergeCell ref="A1:V1"/>
    <mergeCell ref="H4:U4"/>
    <mergeCell ref="A7:A8"/>
    <mergeCell ref="B7:B8"/>
    <mergeCell ref="C7:C8"/>
    <mergeCell ref="D7:D8"/>
    <mergeCell ref="E7:E8"/>
    <mergeCell ref="F7:F8"/>
    <mergeCell ref="G7:G8"/>
    <mergeCell ref="V7:V8"/>
  </mergeCells>
  <phoneticPr fontId="4" type="noConversion"/>
  <conditionalFormatting sqref="H8:U8">
    <cfRule type="containsText" dxfId="1" priority="1" operator="containsText" text="日">
      <formula>NOT(ISERROR(SEARCH("日",H8)))</formula>
    </cfRule>
    <cfRule type="containsText" dxfId="0" priority="2" operator="containsText" text="六">
      <formula>NOT(ISERROR(SEARCH("六",H8)))</formula>
    </cfRule>
  </conditionalFormatting>
  <printOptions horizontalCentered="1" verticalCentered="1"/>
  <pageMargins left="0.19685039370078741" right="0.11811023622047245" top="0.19685039370078741" bottom="3.937007874015748E-2" header="0" footer="7.874015748031496E-2"/>
  <pageSetup paperSize="8" scale="32" orientation="landscape" r:id="rId1"/>
  <headerFooter alignWithMargins="0">
    <oddFooter>&amp;L&amp;F  &amp;A&amp;R&amp;D  &amp;T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4</vt:i4>
      </vt:variant>
      <vt:variant>
        <vt:lpstr>具名範圍</vt:lpstr>
      </vt:variant>
      <vt:variant>
        <vt:i4>8</vt:i4>
      </vt:variant>
    </vt:vector>
  </HeadingPairs>
  <TitlesOfParts>
    <vt:vector size="12" baseType="lpstr">
      <vt:lpstr>20萬版-30秒版</vt:lpstr>
      <vt:lpstr>20萬版-20秒版</vt:lpstr>
      <vt:lpstr>20萬版-15秒版</vt:lpstr>
      <vt:lpstr>20萬版-10秒版 </vt:lpstr>
      <vt:lpstr>'20萬版-10秒版 '!Print_Area</vt:lpstr>
      <vt:lpstr>'20萬版-15秒版'!Print_Area</vt:lpstr>
      <vt:lpstr>'20萬版-20秒版'!Print_Area</vt:lpstr>
      <vt:lpstr>'20萬版-30秒版'!Print_Area</vt:lpstr>
      <vt:lpstr>'20萬版-10秒版 '!Print_Titles</vt:lpstr>
      <vt:lpstr>'20萬版-15秒版'!Print_Titles</vt:lpstr>
      <vt:lpstr>'20萬版-20秒版'!Print_Titles</vt:lpstr>
      <vt:lpstr>'20萬版-30秒版'!Print_Titles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蔡 宜歆</dc:creator>
  <cp:lastModifiedBy>蔡 宜歆</cp:lastModifiedBy>
  <cp:lastPrinted>2025-12-29T08:22:54Z</cp:lastPrinted>
  <dcterms:created xsi:type="dcterms:W3CDTF">2025-09-26T08:25:35Z</dcterms:created>
  <dcterms:modified xsi:type="dcterms:W3CDTF">2026-09-02T02:36:53Z</dcterms:modified>
</cp:coreProperties>
</file>